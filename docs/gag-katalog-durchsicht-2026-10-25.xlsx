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es mich" sheetId="1" state="visible" r:id="rId3"/>
    <sheet name="Gags" sheetId="2" state="visible" r:id="rId4"/>
    <sheet name="Gruppen" sheetId="3" state="visible" r:id="rId5"/>
    <sheet name="Helden-Aktionen" sheetId="4" state="visible" r:id="rId6"/>
    <sheet name="Neue Vorschläge" sheetId="5" state="visible" r:id="rId7"/>
    <sheet name="Muster" sheetId="6" state="visible" r:id="rId8"/>
  </sheets>
  <definedNames>
    <definedName function="false" hidden="true" localSheetId="1" name="_xlnm._FilterDatabase" vbProcedure="false">Gags!$A$1:$I$245</definedName>
    <definedName function="false" hidden="true" localSheetId="2" name="_xlnm._FilterDatabase" vbProcedure="false">Gruppen!$A$1:$I$53</definedName>
    <definedName function="false" hidden="true" localSheetId="3" name="_xlnm._FilterDatabase" vbProcedure="false">'Helden-Aktionen'!$A$1:$I$57</definedName>
    <definedName function="false" hidden="true" localSheetId="4" name="_xlnm._FilterDatabase" vbProcedure="false">'Neue Vorschläge'!$A$1:$F$55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<sst xmlns="http://schemas.openxmlformats.org/spreadsheetml/2006/main" count="2197" uniqueCount="1271">
  <si>
    <t xml:space="preserve">Gag-Katalog Durchsicht – Wimmel Wizard</t>
  </si>
  <si>
    <t xml:space="preserve">Stand 25.10.2026. Quelle: public/js/pipeline.js (GAG_LIBRARY, GROUP_LIBRARY, HERO_ACTION_LIBRARY).</t>
  </si>
  <si>
    <t xml:space="preserve">So gehst du vor</t>
  </si>
  <si>
    <t xml:space="preserve">1. Blätter „Gags“, „Gruppen“ und „Helden-Aktionen“: In der gelben Spalte „Entscheidung“ je Zeile Behalten / Streichen / Ändern wählen (Dropdown).</t>
  </si>
  <si>
    <t xml:space="preserve">2. Bei „Ändern“ in „Deine Notiz“ kurz schreiben, was anders soll. Bei Streichen reicht das Wort.</t>
  </si>
  <si>
    <t xml:space="preserve">3. Spalte „Hinweis“ ist meine Vorab-Durchsicht: Dubletten, Wiederholungsmuster, amerikanisch geprägte Einträge. Rot hinterlegt = Hinweis vorhanden.</t>
  </si>
  <si>
    <t xml:space="preserve">4. Blatt „Neue Vorschläge“: 54 neue Situationen, europäisch und bewusst andere Typen (Zärtlich, Arbeit, Absurd). Auch dort Entscheidung wählen.</t>
  </si>
  <si>
    <t xml:space="preserve">5. Blatt „Muster“ zeigt die Verteilung der Typen und zählt deine Entscheidungen live mit.</t>
  </si>
  <si>
    <t xml:space="preserve">Beispiel</t>
  </si>
  <si>
    <t xml:space="preserve">G159 | Berge | Ein Hund apportiert einen viel zu großen Stock | Entscheidung: Streichen | Notiz: Dublette zu G053</t>
  </si>
  <si>
    <t xml:space="preserve">Danach: Datei zurück an mich. Daraus entsteht der Situationen-Katalog für die Collage (Vorlage + Rollen + Tags) als Cowork-Auftrag.</t>
  </si>
  <si>
    <t xml:space="preserve">ID</t>
  </si>
  <si>
    <t xml:space="preserve">Thema</t>
  </si>
  <si>
    <t xml:space="preserve">Ebene</t>
  </si>
  <si>
    <t xml:space="preserve">Situation (DE)</t>
  </si>
  <si>
    <t xml:space="preserve">Prompt-Baustein (EN)</t>
  </si>
  <si>
    <t xml:space="preserve">Typ</t>
  </si>
  <si>
    <t xml:space="preserve">Hinweis aus der Durchsicht</t>
  </si>
  <si>
    <t xml:space="preserve">Entscheidung</t>
  </si>
  <si>
    <t xml:space="preserve">Deine Notiz</t>
  </si>
  <si>
    <t xml:space="preserve">G001</t>
  </si>
  <si>
    <t xml:space="preserve">Zuhause</t>
  </si>
  <si>
    <t xml:space="preserve">Papa steckt beim Möbelaufbau fest und braucht Hilfe von allen</t>
  </si>
  <si>
    <t xml:space="preserve">dad stuck while assembling furniture, everyone pitching in to help</t>
  </si>
  <si>
    <t xml:space="preserve">Missgeschick</t>
  </si>
  <si>
    <t xml:space="preserve">Zuhause-Pool hat nur 10 Einträge – für die Collage zu dünn</t>
  </si>
  <si>
    <t xml:space="preserve">G002</t>
  </si>
  <si>
    <t xml:space="preserve">Die Katze hat sich in der Wäscheleine verheddert</t>
  </si>
  <si>
    <t xml:space="preserve">a cat tangled up in the laundry line</t>
  </si>
  <si>
    <t xml:space="preserve">Tier</t>
  </si>
  <si>
    <t xml:space="preserve">G003</t>
  </si>
  <si>
    <t xml:space="preserve">Ein Kuchen brennt fast an, weil alle beim Fernsehen zugesehen haben</t>
  </si>
  <si>
    <t xml:space="preserve">a cake almost burning while everyone was watching TV</t>
  </si>
  <si>
    <t xml:space="preserve">G004</t>
  </si>
  <si>
    <t xml:space="preserve">Die Kinder bauen eine riesige Höhle aus Sofakissen</t>
  </si>
  <si>
    <t xml:space="preserve">kids building a huge fort out of sofa cushions</t>
  </si>
  <si>
    <t xml:space="preserve">Spiel/Bewegung</t>
  </si>
  <si>
    <t xml:space="preserve">G005</t>
  </si>
  <si>
    <t xml:space="preserve">Jemand sucht verzweifelt die zweite Socke</t>
  </si>
  <si>
    <t xml:space="preserve">someone desperately searching for a missing sock</t>
  </si>
  <si>
    <t xml:space="preserve">Alltag</t>
  </si>
  <si>
    <t xml:space="preserve">G006</t>
  </si>
  <si>
    <t xml:space="preserve">Ein Wasserrohrbruch verwandelt die Küche in einen kleinen See</t>
  </si>
  <si>
    <t xml:space="preserve">a burst pipe turning the kitchen into a small lake</t>
  </si>
  <si>
    <t xml:space="preserve">G007</t>
  </si>
  <si>
    <t xml:space="preserve">Oma erzählt eine Geschichte und alle hören gebannt zu</t>
  </si>
  <si>
    <t xml:space="preserve">grandma telling a story while everyone listens spellbound</t>
  </si>
  <si>
    <t xml:space="preserve">Zusammen/Zärtlich</t>
  </si>
  <si>
    <t xml:space="preserve">G008</t>
  </si>
  <si>
    <t xml:space="preserve">Der Hund hat die Hausschuhe im ganzen Haus verteilt</t>
  </si>
  <si>
    <t xml:space="preserve">a dog scattering house slippers all over the house</t>
  </si>
  <si>
    <t xml:space="preserve">G009</t>
  </si>
  <si>
    <t xml:space="preserve">Beim Frühstück fällt die Milch um und alle lachen</t>
  </si>
  <si>
    <t xml:space="preserve">spilled milk at breakfast with everyone laughing</t>
  </si>
  <si>
    <t xml:space="preserve">Milch/Flüssigkeit kippt 4×</t>
  </si>
  <si>
    <t xml:space="preserve">G010</t>
  </si>
  <si>
    <t xml:space="preserve">Im Kinderzimmer tobt eine Kissenschlacht</t>
  </si>
  <si>
    <t xml:space="preserve">a pillow fight raging in the kids' room</t>
  </si>
  <si>
    <t xml:space="preserve">G011</t>
  </si>
  <si>
    <t xml:space="preserve">Strand</t>
  </si>
  <si>
    <t xml:space="preserve">Eine Sandburg wird von der Flut weggespült, alle rennen sie zu retten</t>
  </si>
  <si>
    <t xml:space="preserve">a sandcastle being washed away by the tide, everyone rushing to save it</t>
  </si>
  <si>
    <t xml:space="preserve">Sandburg 4× (G011, G028, G035, H009)</t>
  </si>
  <si>
    <t xml:space="preserve">G012</t>
  </si>
  <si>
    <t xml:space="preserve">Eine Möwe klaut jemandem die Pommes</t>
  </si>
  <si>
    <t xml:space="preserve">a seagull stealing someone's bag of fries</t>
  </si>
  <si>
    <t xml:space="preserve">Muster „Tier klaut Essen/Gegenstand“ 5× (G012, G041, G101, G196, G222)</t>
  </si>
  <si>
    <t xml:space="preserve">G013</t>
  </si>
  <si>
    <t xml:space="preserve">Ein Drachen verheddert sich in einem Sonnenschirm</t>
  </si>
  <si>
    <t xml:space="preserve">a kite tangled up in a beach umbrella</t>
  </si>
  <si>
    <t xml:space="preserve">Drachen 4× im Katalog (G013, G042, G065, H014)</t>
  </si>
  <si>
    <t xml:space="preserve">G014</t>
  </si>
  <si>
    <t xml:space="preserve">Jemand wird beim Eincremen von einer Windböe überrascht</t>
  </si>
  <si>
    <t xml:space="preserve">a gust of wind surprising someone mid-sunscreen</t>
  </si>
  <si>
    <t xml:space="preserve">G015</t>
  </si>
  <si>
    <t xml:space="preserve">Ein Krebs kneift jemanden in den Zeh</t>
  </si>
  <si>
    <t xml:space="preserve">a crab pinching someone's toe, everyone startled</t>
  </si>
  <si>
    <t xml:space="preserve">G016</t>
  </si>
  <si>
    <t xml:space="preserve">Ein aufblasbares Einhorn treibt langsam aufs Meer hinaus</t>
  </si>
  <si>
    <t xml:space="preserve">an inflatable unicorn drifting slowly out to sea</t>
  </si>
  <si>
    <t xml:space="preserve">G017</t>
  </si>
  <si>
    <t xml:space="preserve">Kinder buddeln einen Tunnel und treffen sich in der Mitte</t>
  </si>
  <si>
    <t xml:space="preserve">kids digging a tunnel and meeting in the middle</t>
  </si>
  <si>
    <t xml:space="preserve">G018</t>
  </si>
  <si>
    <t xml:space="preserve">Ein Hund buddelt ein riesiges Loch und wird ganz sandig</t>
  </si>
  <si>
    <t xml:space="preserve">a dog digging a huge sandy hole, covered in sand</t>
  </si>
  <si>
    <t xml:space="preserve">G019</t>
  </si>
  <si>
    <t xml:space="preserve">Beim Beachvolleyball fliegt der Ball ins Wasser</t>
  </si>
  <si>
    <t xml:space="preserve">a beach volleyball flying into the water</t>
  </si>
  <si>
    <t xml:space="preserve">eher US-Strandbild (Beachvolleyball) – Alternative: Federball, Boule, Frisbee</t>
  </si>
  <si>
    <t xml:space="preserve">G020</t>
  </si>
  <si>
    <t xml:space="preserve">Jemand döst ein und wird fast von der Flut erwischt</t>
  </si>
  <si>
    <t xml:space="preserve">someone dozing off almost getting caught by the tide</t>
  </si>
  <si>
    <t xml:space="preserve">G021</t>
  </si>
  <si>
    <t xml:space="preserve">Ein Sonnenschirm klappt zusammen und begräbt ein Handtuch</t>
  </si>
  <si>
    <t xml:space="preserve">a beach umbrella collapsing onto a towel</t>
  </si>
  <si>
    <t xml:space="preserve">G022</t>
  </si>
  <si>
    <t xml:space="preserve">Jemand schleppt eine riesige Luftmatratze zum Wasser</t>
  </si>
  <si>
    <t xml:space="preserve">someone hauling a huge air mattress to the water</t>
  </si>
  <si>
    <t xml:space="preserve">Luftmatratze 2×</t>
  </si>
  <si>
    <t xml:space="preserve">G023</t>
  </si>
  <si>
    <t xml:space="preserve">Zwei Kinder sammeln Muscheln in einen Eimer und vergleichen sie</t>
  </si>
  <si>
    <t xml:space="preserve">two kids collecting shells in a bucket and comparing them</t>
  </si>
  <si>
    <t xml:space="preserve">G024</t>
  </si>
  <si>
    <t xml:space="preserve">Ein Kind steht bis zu den Knien im Wasser und zeigt auf einen Fisch</t>
  </si>
  <si>
    <t xml:space="preserve">a child knee-deep in the water pointing at a fish</t>
  </si>
  <si>
    <t xml:space="preserve">G025</t>
  </si>
  <si>
    <t xml:space="preserve">Ein Handtuch wird vom Wind über den Strand getragen</t>
  </si>
  <si>
    <t xml:space="preserve">a towel carried across the beach by the wind</t>
  </si>
  <si>
    <t xml:space="preserve">G026</t>
  </si>
  <si>
    <t xml:space="preserve">Jemand gräbt eine Grube und verschwindet fast darin</t>
  </si>
  <si>
    <t xml:space="preserve">someone digging a pit and almost disappearing into it</t>
  </si>
  <si>
    <t xml:space="preserve">G027</t>
  </si>
  <si>
    <t xml:space="preserve">Ein Tretboot wird zu Wasser gelassen, alle schieben</t>
  </si>
  <si>
    <t xml:space="preserve">a pedal boat being launched with everyone pushing</t>
  </si>
  <si>
    <t xml:space="preserve">Tretboot 2×</t>
  </si>
  <si>
    <t xml:space="preserve">G028</t>
  </si>
  <si>
    <t xml:space="preserve">Eine Sandburg bekommt einen Wassergraben aus zwei Eimern</t>
  </si>
  <si>
    <t xml:space="preserve">a sandcastle getting a moat from two buckets</t>
  </si>
  <si>
    <t xml:space="preserve">G029</t>
  </si>
  <si>
    <t xml:space="preserve">Ein Kind zieht einen Bollerwagen voller Strandzeug</t>
  </si>
  <si>
    <t xml:space="preserve">a child pulling a handcart full of beach gear</t>
  </si>
  <si>
    <t xml:space="preserve">Bollerwagen 3× (G029, G062, H023)</t>
  </si>
  <si>
    <t xml:space="preserve">G030</t>
  </si>
  <si>
    <t xml:space="preserve">Jemand ist komplett mit Sand bedeckt, nur der Kopf schaut heraus</t>
  </si>
  <si>
    <t xml:space="preserve">someone buried in sand with only their head showing</t>
  </si>
  <si>
    <t xml:space="preserve">G031</t>
  </si>
  <si>
    <t xml:space="preserve">Zwei Möwen zanken sich um ein Stück Brot</t>
  </si>
  <si>
    <t xml:space="preserve">two seagulls squabbling over a piece of bread</t>
  </si>
  <si>
    <t xml:space="preserve">G032</t>
  </si>
  <si>
    <t xml:space="preserve">Jemand balanciert auf einem Stein am Wasserrand</t>
  </si>
  <si>
    <t xml:space="preserve">someone balancing on a stone at the water's edge</t>
  </si>
  <si>
    <t xml:space="preserve">G033</t>
  </si>
  <si>
    <t xml:space="preserve">Ein Schlauchboot treibt mit einem Hund darin am Ufer</t>
  </si>
  <si>
    <t xml:space="preserve">a rubber dinghy drifting near the shore with a dog in it</t>
  </si>
  <si>
    <t xml:space="preserve">G034</t>
  </si>
  <si>
    <t xml:space="preserve">Ein Kind trägt einen Turm aus drei Eimern</t>
  </si>
  <si>
    <t xml:space="preserve">a child carrying a tower of three buckets</t>
  </si>
  <si>
    <t xml:space="preserve">G035</t>
  </si>
  <si>
    <t xml:space="preserve">Eine Welle erwischt eine Reihe aufgestellter Sandburgen</t>
  </si>
  <si>
    <t xml:space="preserve">a wave catching a row of sandcastles</t>
  </si>
  <si>
    <t xml:space="preserve">G036</t>
  </si>
  <si>
    <t xml:space="preserve">Jemand wringt ein tropfnasses Handtuch aus</t>
  </si>
  <si>
    <t xml:space="preserve">someone wringing out a dripping towel</t>
  </si>
  <si>
    <t xml:space="preserve">G037</t>
  </si>
  <si>
    <t xml:space="preserve">Ein Junge übt Rad schlagen im flachen Wasser</t>
  </si>
  <si>
    <t xml:space="preserve">a boy practising cartwheels in the shallow water</t>
  </si>
  <si>
    <t xml:space="preserve">G038</t>
  </si>
  <si>
    <t xml:space="preserve">Ein Eisverkäufer wird von einer Traube Kinder umringt</t>
  </si>
  <si>
    <t xml:space="preserve">an ice cream seller surrounded by a cluster of children</t>
  </si>
  <si>
    <t xml:space="preserve">Arbeit/Alltag</t>
  </si>
  <si>
    <t xml:space="preserve">Eis 9× im Katalog – stärkster Wiederholer</t>
  </si>
  <si>
    <t xml:space="preserve">G039</t>
  </si>
  <si>
    <t xml:space="preserve">Ein Kind sammelt Treibholz zu einem Stapel</t>
  </si>
  <si>
    <t xml:space="preserve">a child collecting driftwood into a pile</t>
  </si>
  <si>
    <t xml:space="preserve">G040</t>
  </si>
  <si>
    <t xml:space="preserve">Eine Luftmatratze wird aufgepumpt, der Stöpsel fehlt</t>
  </si>
  <si>
    <t xml:space="preserve">an air mattress being pumped up with the plug missing</t>
  </si>
  <si>
    <t xml:space="preserve">G041</t>
  </si>
  <si>
    <t xml:space="preserve">Park/Spielplatz</t>
  </si>
  <si>
    <t xml:space="preserve">Ein Hund klaut jemandem die Wurst vom Grill</t>
  </si>
  <si>
    <t xml:space="preserve">a dog stealing a sausage from someone's barbecue</t>
  </si>
  <si>
    <t xml:space="preserve">G042</t>
  </si>
  <si>
    <t xml:space="preserve">Ein Drachen bleibt in einem Baum hängen</t>
  </si>
  <si>
    <t xml:space="preserve">a kite stuck in a tree</t>
  </si>
  <si>
    <t xml:space="preserve">G043</t>
  </si>
  <si>
    <t xml:space="preserve">Ein Eis fällt einem Kind aus der Hand, direkt vor die Nase eines Hundes</t>
  </si>
  <si>
    <t xml:space="preserve">an ice cream falling from a kid's hand right in front of a dog</t>
  </si>
  <si>
    <t xml:space="preserve">G044</t>
  </si>
  <si>
    <t xml:space="preserve">Ein Luftballon entwischt einem Kind und fliegt in den Himmel</t>
  </si>
  <si>
    <t xml:space="preserve">a balloon escaping a child's hand and floating into the sky</t>
  </si>
  <si>
    <t xml:space="preserve">Luftballon 3×</t>
  </si>
  <si>
    <t xml:space="preserve">G045</t>
  </si>
  <si>
    <t xml:space="preserve">Zwei Eichhörnchen streiten sich um eine Nuss</t>
  </si>
  <si>
    <t xml:space="preserve">two squirrels fighting over a nut</t>
  </si>
  <si>
    <t xml:space="preserve">G046</t>
  </si>
  <si>
    <t xml:space="preserve">Jemand rutscht viel zu schnell die Rutsche runter und fliegt am Ende ab</t>
  </si>
  <si>
    <t xml:space="preserve">someone sliding down the slide way too fast and flying off the end</t>
  </si>
  <si>
    <t xml:space="preserve">G047</t>
  </si>
  <si>
    <t xml:space="preserve">Eine Wippe kippt, weil eine Seite viel schwerer ist</t>
  </si>
  <si>
    <t xml:space="preserve">a seesaw tipping because one side is much heavier</t>
  </si>
  <si>
    <t xml:space="preserve">G048</t>
  </si>
  <si>
    <t xml:space="preserve">Enten überfallen ein Picknick</t>
  </si>
  <si>
    <t xml:space="preserve">ducks raiding a picnic blanket</t>
  </si>
  <si>
    <t xml:space="preserve">G049</t>
  </si>
  <si>
    <t xml:space="preserve">Ein Kind versteckt sich beim Fangenspielen hinter einer viel zu kleinen Laterne</t>
  </si>
  <si>
    <t xml:space="preserve">a child hiding behind a way too small lamppost during a game of tag</t>
  </si>
  <si>
    <t xml:space="preserve">G050</t>
  </si>
  <si>
    <t xml:space="preserve">Jemand fährt mit dem Roller gegen eine Parkbank</t>
  </si>
  <si>
    <t xml:space="preserve">someone crashing a scooter into a park bench</t>
  </si>
  <si>
    <t xml:space="preserve">G051</t>
  </si>
  <si>
    <t xml:space="preserve">Ein Kind hängt kopfüber am Klettergerüst</t>
  </si>
  <si>
    <t xml:space="preserve">a child hanging upside down on the climbing frame</t>
  </si>
  <si>
    <t xml:space="preserve">G052</t>
  </si>
  <si>
    <t xml:space="preserve">Zwei Kinder schaukeln im Stehen und immer höher</t>
  </si>
  <si>
    <t xml:space="preserve">two kids swinging standing up and ever higher</t>
  </si>
  <si>
    <t xml:space="preserve">G053</t>
  </si>
  <si>
    <t xml:space="preserve">Ein Hund trägt einen viel zu großen Stock quer über den Weg</t>
  </si>
  <si>
    <t xml:space="preserve">a dog carrying a far too big stick across the path</t>
  </si>
  <si>
    <t xml:space="preserve">identisch mit G159 (Berge)</t>
  </si>
  <si>
    <t xml:space="preserve">G054</t>
  </si>
  <si>
    <t xml:space="preserve">Jemand füttert Spatzen aus der Hand</t>
  </si>
  <si>
    <t xml:space="preserve">someone feeding sparrows from their hand</t>
  </si>
  <si>
    <t xml:space="preserve">G055</t>
  </si>
  <si>
    <t xml:space="preserve">Ein Kind schiebt einen Puppenwagen über den Kies</t>
  </si>
  <si>
    <t xml:space="preserve">a child pushing a doll's pram across the gravel</t>
  </si>
  <si>
    <t xml:space="preserve">G056</t>
  </si>
  <si>
    <t xml:space="preserve">Ein Ball landet im Blumenbeet, ein Kind klettert hinterher</t>
  </si>
  <si>
    <t xml:space="preserve">a ball landing in the flower bed with a child climbing after it</t>
  </si>
  <si>
    <t xml:space="preserve">G057</t>
  </si>
  <si>
    <t xml:space="preserve">Der Sandkasten wird zur Baustelle mit drei Baggern</t>
  </si>
  <si>
    <t xml:space="preserve">the sandbox turned into a building site with three toy diggers</t>
  </si>
  <si>
    <t xml:space="preserve">G058</t>
  </si>
  <si>
    <t xml:space="preserve">Jemand zieht ein Kind auf einem Tretroller hinterher</t>
  </si>
  <si>
    <t xml:space="preserve">someone towing a child on a scooter</t>
  </si>
  <si>
    <t xml:space="preserve">G059</t>
  </si>
  <si>
    <t xml:space="preserve">Ein Kind hat sich im Kletternetz verkeilt und wird befreit</t>
  </si>
  <si>
    <t xml:space="preserve">a child wedged in the climbing net being freed</t>
  </si>
  <si>
    <t xml:space="preserve">G060</t>
  </si>
  <si>
    <t xml:space="preserve">Jemand liest auf der Bank und merkt die Taube daneben nicht</t>
  </si>
  <si>
    <t xml:space="preserve">someone reading on a bench not noticing the pigeon beside them</t>
  </si>
  <si>
    <t xml:space="preserve">G061</t>
  </si>
  <si>
    <t xml:space="preserve">Zwei Kinder tauschen Sammelkarten auf einer Bank</t>
  </si>
  <si>
    <t xml:space="preserve">two kids swapping collector cards on a bench</t>
  </si>
  <si>
    <t xml:space="preserve">G062</t>
  </si>
  <si>
    <t xml:space="preserve">Ein Kind zieht einen Bollerwagen mit einem Hund darin</t>
  </si>
  <si>
    <t xml:space="preserve">a child pulling a handcart with a dog inside</t>
  </si>
  <si>
    <t xml:space="preserve">G063</t>
  </si>
  <si>
    <t xml:space="preserve">Der Trinkbrunnen spritzt höher als erwartet</t>
  </si>
  <si>
    <t xml:space="preserve">the drinking fountain squirting higher than expected</t>
  </si>
  <si>
    <t xml:space="preserve">G064</t>
  </si>
  <si>
    <t xml:space="preserve">Ein Kind malt mit Kreide ein Hüpfspiel auf den Weg</t>
  </si>
  <si>
    <t xml:space="preserve">a child chalking a hopscotch grid onto the path</t>
  </si>
  <si>
    <t xml:space="preserve">Kreide 2× (Gag + Helden-Aktion)</t>
  </si>
  <si>
    <t xml:space="preserve">G065</t>
  </si>
  <si>
    <t xml:space="preserve">Ein Drachen wird von zwei Kindern gleichzeitig gehalten</t>
  </si>
  <si>
    <t xml:space="preserve">a kite held by two children at once</t>
  </si>
  <si>
    <t xml:space="preserve">G066</t>
  </si>
  <si>
    <t xml:space="preserve">Ein Eichhörnchen läuft über eine Bankreihe</t>
  </si>
  <si>
    <t xml:space="preserve">a squirrel running along a row of benches</t>
  </si>
  <si>
    <t xml:space="preserve">G067</t>
  </si>
  <si>
    <t xml:space="preserve">Jemand macht Seifenblasen, Kinder rennen hinterher</t>
  </si>
  <si>
    <t xml:space="preserve">someone blowing soap bubbles with kids chasing them</t>
  </si>
  <si>
    <t xml:space="preserve">Seifenblasen 2× (Gag + Helden-Aktion)</t>
  </si>
  <si>
    <t xml:space="preserve">G068</t>
  </si>
  <si>
    <t xml:space="preserve">Ein Kind rollt einen Reifen über die Wiese</t>
  </si>
  <si>
    <t xml:space="preserve">a child rolling a hoop across the lawn</t>
  </si>
  <si>
    <t xml:space="preserve">G069</t>
  </si>
  <si>
    <t xml:space="preserve">Drei Kinder bauen eine Hütte aus Ästen</t>
  </si>
  <si>
    <t xml:space="preserve">three kids building a den from branches</t>
  </si>
  <si>
    <t xml:space="preserve">G070</t>
  </si>
  <si>
    <t xml:space="preserve">Ein Rollerhelm liegt vergessen auf der Rutsche</t>
  </si>
  <si>
    <t xml:space="preserve">a scooter helmet left behind on the slide</t>
  </si>
  <si>
    <t xml:space="preserve">G071</t>
  </si>
  <si>
    <t xml:space="preserve">Bauernhof</t>
  </si>
  <si>
    <t xml:space="preserve">Ein Schwein ist ausgebüxt und rennt über den Hof</t>
  </si>
  <si>
    <t xml:space="preserve">a pig that escaped its pen running across the farmyard</t>
  </si>
  <si>
    <t xml:space="preserve">G072</t>
  </si>
  <si>
    <t xml:space="preserve">Ein Traktor bleibt im Schlamm stecken</t>
  </si>
  <si>
    <t xml:space="preserve">a tractor stuck in the mud</t>
  </si>
  <si>
    <t xml:space="preserve">G073</t>
  </si>
  <si>
    <t xml:space="preserve">Hühner picken jemandem an den Schnürsenkeln</t>
  </si>
  <si>
    <t xml:space="preserve">chickens pecking at someone's shoelaces</t>
  </si>
  <si>
    <t xml:space="preserve">G074</t>
  </si>
  <si>
    <t xml:space="preserve">Eine Kuh leckt einem Kind über die Wange</t>
  </si>
  <si>
    <t xml:space="preserve">a cow licking a kid's cheek</t>
  </si>
  <si>
    <t xml:space="preserve">G075</t>
  </si>
  <si>
    <t xml:space="preserve">Ein Eimer Milch kippt mitten im Kuhstall um</t>
  </si>
  <si>
    <t xml:space="preserve">a bucket of milk tipping over in the barn</t>
  </si>
  <si>
    <t xml:space="preserve">G076</t>
  </si>
  <si>
    <t xml:space="preserve">Ein Ferkel hat sich in einen viel zu großen Gummistiefel verkrochen</t>
  </si>
  <si>
    <t xml:space="preserve">a piglet hiding inside a way too big rubber boot</t>
  </si>
  <si>
    <t xml:space="preserve">G077</t>
  </si>
  <si>
    <t xml:space="preserve">Eine Gans jagt den Bauern über den Hof</t>
  </si>
  <si>
    <t xml:space="preserve">a goose chasing the farmer across the yard</t>
  </si>
  <si>
    <t xml:space="preserve">G078</t>
  </si>
  <si>
    <t xml:space="preserve">Kinder verstecken sich im Heuhaufen</t>
  </si>
  <si>
    <t xml:space="preserve">kids hiding in a haystack</t>
  </si>
  <si>
    <t xml:space="preserve">G079</t>
  </si>
  <si>
    <t xml:space="preserve">Ein Hahn kräht viel zu früh und weckt alle auf</t>
  </si>
  <si>
    <t xml:space="preserve">a rooster crowing way too early and waking everyone up</t>
  </si>
  <si>
    <t xml:space="preserve">G080</t>
  </si>
  <si>
    <t xml:space="preserve">Eine Ziege frisst die Wäsche von der Leine</t>
  </si>
  <si>
    <t xml:space="preserve">a goat eating laundry off the clothesline</t>
  </si>
  <si>
    <t xml:space="preserve">G081</t>
  </si>
  <si>
    <t xml:space="preserve">Ein Schaf hat sich von der Herde getrennt und steht im Gemüsebeet</t>
  </si>
  <si>
    <t xml:space="preserve">a sheep separated from the flock standing in the vegetable patch</t>
  </si>
  <si>
    <t xml:space="preserve">G082</t>
  </si>
  <si>
    <t xml:space="preserve">Zwei Kinder tragen zusammen einen viel zu schweren Eimer Futter</t>
  </si>
  <si>
    <t xml:space="preserve">two kids carrying one far too heavy bucket of feed together</t>
  </si>
  <si>
    <t xml:space="preserve">G083</t>
  </si>
  <si>
    <t xml:space="preserve">Ein Kalb leckt an einem Gummistiefel, der noch am Fuß steckt</t>
  </si>
  <si>
    <t xml:space="preserve">a calf licking a rubber boot that is still on someone's foot</t>
  </si>
  <si>
    <t xml:space="preserve">G084</t>
  </si>
  <si>
    <t xml:space="preserve">Der Misthaufen ist umgekippt und die Hühner stürmen hinein</t>
  </si>
  <si>
    <t xml:space="preserve">a toppled muck heap with chickens storming into it</t>
  </si>
  <si>
    <t xml:space="preserve">G085</t>
  </si>
  <si>
    <t xml:space="preserve">Ein Kind sitzt auf dem Traktorsitz und hält das Lenkrad fest</t>
  </si>
  <si>
    <t xml:space="preserve">a child sitting on the tractor seat gripping the steering wheel</t>
  </si>
  <si>
    <t xml:space="preserve">G086</t>
  </si>
  <si>
    <t xml:space="preserve">Eine Katze schleicht sich an eine Schüssel Milch heran</t>
  </si>
  <si>
    <t xml:space="preserve">a cat creeping up on a bowl of milk</t>
  </si>
  <si>
    <t xml:space="preserve">G087</t>
  </si>
  <si>
    <t xml:space="preserve">Jemand bindet Strohballen mit einem viel zu kurzen Seil zusammen</t>
  </si>
  <si>
    <t xml:space="preserve">someone tying straw bales with a far too short rope</t>
  </si>
  <si>
    <t xml:space="preserve">G088</t>
  </si>
  <si>
    <t xml:space="preserve">Eine Schubkarre voller Äpfel kippt an einer Steigung</t>
  </si>
  <si>
    <t xml:space="preserve">a wheelbarrow full of apples tipping on a slope</t>
  </si>
  <si>
    <t xml:space="preserve">Schubkarre 3×</t>
  </si>
  <si>
    <t xml:space="preserve">G089</t>
  </si>
  <si>
    <t xml:space="preserve">Ein Hund treibt drei Enten in die falsche Richtung</t>
  </si>
  <si>
    <t xml:space="preserve">a dog herding three ducks in the wrong direction</t>
  </si>
  <si>
    <t xml:space="preserve">G090</t>
  </si>
  <si>
    <t xml:space="preserve">Ein Kind pflückt Kirschen und hat schon rote Finger</t>
  </si>
  <si>
    <t xml:space="preserve">a child picking cherries with already red fingers</t>
  </si>
  <si>
    <t xml:space="preserve">G091</t>
  </si>
  <si>
    <t xml:space="preserve">Der Brunnen läuft über und bildet eine Pfütze</t>
  </si>
  <si>
    <t xml:space="preserve">the well overflowing into a puddle</t>
  </si>
  <si>
    <t xml:space="preserve">G092</t>
  </si>
  <si>
    <t xml:space="preserve">Zwei Ziegen stehen auf dem Dach des Hühnerstalls</t>
  </si>
  <si>
    <t xml:space="preserve">two goats standing on the roof of the chicken coop</t>
  </si>
  <si>
    <t xml:space="preserve">G093</t>
  </si>
  <si>
    <t xml:space="preserve">Jemand balanciert auf dem Weidezaun, Arme weit ausgestreckt</t>
  </si>
  <si>
    <t xml:space="preserve">someone balancing on the pasture fence with arms spread wide</t>
  </si>
  <si>
    <t xml:space="preserve">Zaun 2×</t>
  </si>
  <si>
    <t xml:space="preserve">G094</t>
  </si>
  <si>
    <t xml:space="preserve">Ein Ferkel rennt mit einem Kohlkopf im Maul davon</t>
  </si>
  <si>
    <t xml:space="preserve">a piglet running off with a cabbage in its mouth</t>
  </si>
  <si>
    <t xml:space="preserve">G095</t>
  </si>
  <si>
    <t xml:space="preserve">Ein Kind füttert ein Lamm aus der Flasche und wird angerempelt</t>
  </si>
  <si>
    <t xml:space="preserve">a child bottle-feeding a lamb and getting nudged</t>
  </si>
  <si>
    <t xml:space="preserve">Lamm aus der Flasche 2×</t>
  </si>
  <si>
    <t xml:space="preserve">G096</t>
  </si>
  <si>
    <t xml:space="preserve">Der Heuboden wird über eine Leiter erklommen, unten wartet schon jemand</t>
  </si>
  <si>
    <t xml:space="preserve">someone climbing a ladder to the hayloft while another waits below</t>
  </si>
  <si>
    <t xml:space="preserve">G097</t>
  </si>
  <si>
    <t xml:space="preserve">Eine Schubkarre wird als Rennwagen benutzt, zwei Kinder schieben</t>
  </si>
  <si>
    <t xml:space="preserve">a wheelbarrow used as a race car with two kids pushing</t>
  </si>
  <si>
    <t xml:space="preserve">G098</t>
  </si>
  <si>
    <t xml:space="preserve">Ein Storch landet auf dem Schornstein des Bauernhauses</t>
  </si>
  <si>
    <t xml:space="preserve">a stork landing on the farmhouse chimney</t>
  </si>
  <si>
    <t xml:space="preserve">G099</t>
  </si>
  <si>
    <t xml:space="preserve">Kartoffeln rollen aus einem geplatzten Sack über den Hof</t>
  </si>
  <si>
    <t xml:space="preserve">potatoes rolling across the yard from a burst sack</t>
  </si>
  <si>
    <t xml:space="preserve">G100</t>
  </si>
  <si>
    <t xml:space="preserve">Ein Kind schaut mit Hut und Schleier in einen Bienenstock</t>
  </si>
  <si>
    <t xml:space="preserve">a child in a veiled hat peering into a beehive</t>
  </si>
  <si>
    <t xml:space="preserve">G101</t>
  </si>
  <si>
    <t xml:space="preserve">Zoo</t>
  </si>
  <si>
    <t xml:space="preserve">Ein Affe klaut jemandem die Mütze</t>
  </si>
  <si>
    <t xml:space="preserve">a monkey stealing someone's hat</t>
  </si>
  <si>
    <t xml:space="preserve">Muster „Tier klaut Essen/Gegenstand“ 5× (G012, G041, G101, G196, G222); Pool hat nur 10 Einträge – für die Collage zu dünn (gilt für Zoo, Schwimmbad, Kita/Schule)</t>
  </si>
  <si>
    <t xml:space="preserve">G102</t>
  </si>
  <si>
    <t xml:space="preserve">Ein Pinguin rutscht auf dem Bauch über den Weg</t>
  </si>
  <si>
    <t xml:space="preserve">a penguin sliding on its belly across the path</t>
  </si>
  <si>
    <t xml:space="preserve">G103</t>
  </si>
  <si>
    <t xml:space="preserve">Ein Elefant spritzt mit dem Rüssel Wasser auf die Besucher</t>
  </si>
  <si>
    <t xml:space="preserve">an elephant spraying water on visitors with its trunk</t>
  </si>
  <si>
    <t xml:space="preserve">G104</t>
  </si>
  <si>
    <t xml:space="preserve">Ein Kind macht Grimassen vor dem Gorilla-Gehege</t>
  </si>
  <si>
    <t xml:space="preserve">a kid making funny faces at the gorilla enclosure</t>
  </si>
  <si>
    <t xml:space="preserve">G105</t>
  </si>
  <si>
    <t xml:space="preserve">Ein Papagei ruft plötzlich etwas Lustiges</t>
  </si>
  <si>
    <t xml:space="preserve">a parrot suddenly shouting something funny</t>
  </si>
  <si>
    <t xml:space="preserve">G106</t>
  </si>
  <si>
    <t xml:space="preserve">Ein Zebra und ein Kind schauen sich lange in die Augen</t>
  </si>
  <si>
    <t xml:space="preserve">a zebra and a child staring at each other for a long time</t>
  </si>
  <si>
    <t xml:space="preserve">G107</t>
  </si>
  <si>
    <t xml:space="preserve">Eine Giraffe streckt beim Fotografieren den Kopf mitten ins Bild</t>
  </si>
  <si>
    <t xml:space="preserve">a giraffe poking its head right into a photo being taken</t>
  </si>
  <si>
    <t xml:space="preserve">G108</t>
  </si>
  <si>
    <t xml:space="preserve">Ein Erdmännchen steht Wache und beobachtet alle Besucher</t>
  </si>
  <si>
    <t xml:space="preserve">a meerkat standing guard watching all the visitors</t>
  </si>
  <si>
    <t xml:space="preserve">G109</t>
  </si>
  <si>
    <t xml:space="preserve">Ein Eisbär planscht laut ins Wasser und bespritzt alle</t>
  </si>
  <si>
    <t xml:space="preserve">a polar bear splashing loudly into the water, soaking everyone nearby</t>
  </si>
  <si>
    <t xml:space="preserve">G110</t>
  </si>
  <si>
    <t xml:space="preserve">Ein Kind füttert versehentlich die Enten statt die Ziegen</t>
  </si>
  <si>
    <t xml:space="preserve">a kid accidentally feeding the ducks instead of the goats</t>
  </si>
  <si>
    <t xml:space="preserve">G111</t>
  </si>
  <si>
    <t xml:space="preserve">Schwimmbad</t>
  </si>
  <si>
    <t xml:space="preserve">Ein Kind macht einen riesigen Bauchklatscher</t>
  </si>
  <si>
    <t xml:space="preserve">a kid doing a huge belly flop</t>
  </si>
  <si>
    <t xml:space="preserve">Pool hat nur 10 Einträge – für die Collage zu dünn (gilt für Zoo, Schwimmbad, Kita/Schule)</t>
  </si>
  <si>
    <t xml:space="preserve">G112</t>
  </si>
  <si>
    <t xml:space="preserve">Die Rutsche spritzt jemanden komplett nass</t>
  </si>
  <si>
    <t xml:space="preserve">the water slide splashing someone completely soaked</t>
  </si>
  <si>
    <t xml:space="preserve">G113</t>
  </si>
  <si>
    <t xml:space="preserve">Ein Wasserball fliegt mitten in eine Familie</t>
  </si>
  <si>
    <t xml:space="preserve">a beach ball flying right into a family</t>
  </si>
  <si>
    <t xml:space="preserve">G114</t>
  </si>
  <si>
    <t xml:space="preserve">Jemand verliert beim Tauchen die Schwimmbrille</t>
  </si>
  <si>
    <t xml:space="preserve">someone losing their swim goggles while diving</t>
  </si>
  <si>
    <t xml:space="preserve">G115</t>
  </si>
  <si>
    <t xml:space="preserve">Ein Hund springt versehentlich mit ins Becken</t>
  </si>
  <si>
    <t xml:space="preserve">a dog accidentally jumping into the pool</t>
  </si>
  <si>
    <t xml:space="preserve">G116</t>
  </si>
  <si>
    <t xml:space="preserve">Zwei Kinder liefern sich eine Wasserschlacht</t>
  </si>
  <si>
    <t xml:space="preserve">two kids having a splashing water fight</t>
  </si>
  <si>
    <t xml:space="preserve">G117</t>
  </si>
  <si>
    <t xml:space="preserve">Jemand rutscht am Beckenrand aus und plumpst rein</t>
  </si>
  <si>
    <t xml:space="preserve">someone slipping at the poolside and tumbling in</t>
  </si>
  <si>
    <t xml:space="preserve">G118</t>
  </si>
  <si>
    <t xml:space="preserve">Ein aufblasbares Krokodil treibt führerlos durchs Becken</t>
  </si>
  <si>
    <t xml:space="preserve">an inflatable crocodile drifting aimlessly across the pool</t>
  </si>
  <si>
    <t xml:space="preserve">G119</t>
  </si>
  <si>
    <t xml:space="preserve">Beim Sprung vom Beckenrand geht fast die Badehose verloren</t>
  </si>
  <si>
    <t xml:space="preserve">someone almost losing their swim trunks jumping off the poolside</t>
  </si>
  <si>
    <t xml:space="preserve">G120</t>
  </si>
  <si>
    <t xml:space="preserve">Ein Eis wird schnell gegessen, bevor es in der Sonne schmilzt</t>
  </si>
  <si>
    <t xml:space="preserve">an ice cream being eaten quickly before it melts in the sun</t>
  </si>
  <si>
    <t xml:space="preserve">G121</t>
  </si>
  <si>
    <t xml:space="preserve">Stadt/Markt</t>
  </si>
  <si>
    <t xml:space="preserve">Ein Marktstand-Verkäufer jongliert mit Äpfeln</t>
  </si>
  <si>
    <t xml:space="preserve">a market vendor juggling apples</t>
  </si>
  <si>
    <t xml:space="preserve">G122</t>
  </si>
  <si>
    <t xml:space="preserve">Ein Straßenmusiker sammelt ein kleines Publikum</t>
  </si>
  <si>
    <t xml:space="preserve">a street musician gathering a small crowd</t>
  </si>
  <si>
    <t xml:space="preserve">G123</t>
  </si>
  <si>
    <t xml:space="preserve">Jemand rennt dem Bus hinterher und schafft es gerade noch</t>
  </si>
  <si>
    <t xml:space="preserve">someone chasing after the bus and just catching it</t>
  </si>
  <si>
    <t xml:space="preserve">G124</t>
  </si>
  <si>
    <t xml:space="preserve">Ein Hund zieht sein Herrchen quer über die Straße</t>
  </si>
  <si>
    <t xml:space="preserve">a dog pulling its owner across the street</t>
  </si>
  <si>
    <t xml:space="preserve">G125</t>
  </si>
  <si>
    <t xml:space="preserve">Ein Kind bleibt vor einem Spielzeug-Schaufenster wie angewurzelt stehen</t>
  </si>
  <si>
    <t xml:space="preserve">a child frozen in place staring at a toy shop window</t>
  </si>
  <si>
    <t xml:space="preserve">G126</t>
  </si>
  <si>
    <t xml:space="preserve">Tauben picken Krümel vor einem Café</t>
  </si>
  <si>
    <t xml:space="preserve">pigeons pecking crumbs outside a cafe</t>
  </si>
  <si>
    <t xml:space="preserve">G127</t>
  </si>
  <si>
    <t xml:space="preserve">Ein Fahrradkurier balanciert einen riesigen Stapel Pakete</t>
  </si>
  <si>
    <t xml:space="preserve">a bike courier balancing a huge stack of packages</t>
  </si>
  <si>
    <t xml:space="preserve">G128</t>
  </si>
  <si>
    <t xml:space="preserve">Ein Eiswagen hat eine lange Schlange</t>
  </si>
  <si>
    <t xml:space="preserve">an ice cream van with a long queue</t>
  </si>
  <si>
    <t xml:space="preserve">Eis 9× im Katalog – stärkster Wiederholer; amerikanisch geprägt (Eiswagen/ice cream truck) – Vorschlag: Eisdiele/Eiswagen vom Wochenmarkt</t>
  </si>
  <si>
    <t xml:space="preserve">G129</t>
  </si>
  <si>
    <t xml:space="preserve">Eine Tüte Orangen fällt jemandem hin und kullert über den Gehweg</t>
  </si>
  <si>
    <t xml:space="preserve">a bag of oranges spilling and rolling across the sidewalk</t>
  </si>
  <si>
    <t xml:space="preserve">G130</t>
  </si>
  <si>
    <t xml:space="preserve">Ein Straßenkünstler steht so still, dass ihn alle für eine Statue halten</t>
  </si>
  <si>
    <t xml:space="preserve">a street performer standing so still everyone thinks he's a statue</t>
  </si>
  <si>
    <t xml:space="preserve">G131</t>
  </si>
  <si>
    <t xml:space="preserve">Ein Kind zieht einen Erwachsenen zum Schaufenster einer Bäckerei</t>
  </si>
  <si>
    <t xml:space="preserve">a child pulling an adult towards a bakery window</t>
  </si>
  <si>
    <t xml:space="preserve">G132</t>
  </si>
  <si>
    <t xml:space="preserve">Zwei Handwerker tragen eine Fensterscheibe über den Platz</t>
  </si>
  <si>
    <t xml:space="preserve">two workmen carrying a pane of glass across the square</t>
  </si>
  <si>
    <t xml:space="preserve">G133</t>
  </si>
  <si>
    <t xml:space="preserve">Ein Straßenkehrer sammelt Blätter, der Wind verteilt sie neu</t>
  </si>
  <si>
    <t xml:space="preserve">a street sweeper gathering leaves that the wind scatters again</t>
  </si>
  <si>
    <t xml:space="preserve">G134</t>
  </si>
  <si>
    <t xml:space="preserve">Jemand schiebt ein Fahrrad mit platten Reifen</t>
  </si>
  <si>
    <t xml:space="preserve">someone pushing a bicycle with a flat tyre</t>
  </si>
  <si>
    <t xml:space="preserve">G135</t>
  </si>
  <si>
    <t xml:space="preserve">Ein Blumenstand wird aufgebaut, Eimer überall</t>
  </si>
  <si>
    <t xml:space="preserve">a flower stall being set up with buckets everywhere</t>
  </si>
  <si>
    <t xml:space="preserve">G136</t>
  </si>
  <si>
    <t xml:space="preserve">Ein Kellner balanciert ein Tablett zwischen den Tischen</t>
  </si>
  <si>
    <t xml:space="preserve">a waiter balancing a tray between the tables</t>
  </si>
  <si>
    <t xml:space="preserve">G137</t>
  </si>
  <si>
    <t xml:space="preserve">Ein Kind zählt Münzen für den Eisstand</t>
  </si>
  <si>
    <t xml:space="preserve">a child counting coins for the ice cream stand</t>
  </si>
  <si>
    <t xml:space="preserve">G138</t>
  </si>
  <si>
    <t xml:space="preserve">Ein Paket fällt vom Stapel eines Lieferwagens</t>
  </si>
  <si>
    <t xml:space="preserve">a parcel falling from a stack on a delivery van</t>
  </si>
  <si>
    <t xml:space="preserve">G139</t>
  </si>
  <si>
    <t xml:space="preserve">Zwei Tauben sitzen auf dem Lenker eines Rollers</t>
  </si>
  <si>
    <t xml:space="preserve">two pigeons sitting on a scooter's handlebars</t>
  </si>
  <si>
    <t xml:space="preserve">G140</t>
  </si>
  <si>
    <t xml:space="preserve">Jemand hält eine Ladentür für eine ganze Familie auf</t>
  </si>
  <si>
    <t xml:space="preserve">someone holding a shop door for an entire family</t>
  </si>
  <si>
    <t xml:space="preserve">G141</t>
  </si>
  <si>
    <t xml:space="preserve">Ein Kind sitzt auf Schultern und schaut über die Menge</t>
  </si>
  <si>
    <t xml:space="preserve">a child on someone's shoulders looking over the crowd</t>
  </si>
  <si>
    <t xml:space="preserve">Kind auf Schultern 2× (Gag + Helden-Aktion)</t>
  </si>
  <si>
    <t xml:space="preserve">G142</t>
  </si>
  <si>
    <t xml:space="preserve">Ein Straßenmusiker stimmt die Gitarre, ein Hund wartet daneben</t>
  </si>
  <si>
    <t xml:space="preserve">a busker tuning a guitar with a dog waiting beside him</t>
  </si>
  <si>
    <t xml:space="preserve">G143</t>
  </si>
  <si>
    <t xml:space="preserve">Auf dem Markt wird ein Fisch in Papier gewickelt</t>
  </si>
  <si>
    <t xml:space="preserve">a fish being wrapped in paper at the market</t>
  </si>
  <si>
    <t xml:space="preserve">G144</t>
  </si>
  <si>
    <t xml:space="preserve">Ein Kinderwagen wird über eine Bordsteinkante gehoben</t>
  </si>
  <si>
    <t xml:space="preserve">a pram being lifted over a kerb</t>
  </si>
  <si>
    <t xml:space="preserve">G145</t>
  </si>
  <si>
    <t xml:space="preserve">Jemand gießt Blumenkästen an einem Fenster im ersten Stock</t>
  </si>
  <si>
    <t xml:space="preserve">someone watering flower boxes at a first-floor window</t>
  </si>
  <si>
    <t xml:space="preserve">G146</t>
  </si>
  <si>
    <t xml:space="preserve">Zwei Kinder wetteifern, wer schneller die Treppe hochkommt</t>
  </si>
  <si>
    <t xml:space="preserve">two kids racing each other up the steps</t>
  </si>
  <si>
    <t xml:space="preserve">G147</t>
  </si>
  <si>
    <t xml:space="preserve">Ein Hund ist an einem Laternenpfahl angebunden und wartet</t>
  </si>
  <si>
    <t xml:space="preserve">a dog tied to a lamppost waiting</t>
  </si>
  <si>
    <t xml:space="preserve">G148</t>
  </si>
  <si>
    <t xml:space="preserve">Eine Marktfrau stapelt Melonen zu einer Pyramide</t>
  </si>
  <si>
    <t xml:space="preserve">a market woman stacking melons into a pyramid</t>
  </si>
  <si>
    <t xml:space="preserve">G149</t>
  </si>
  <si>
    <t xml:space="preserve">Ein Kind läuft mit einem Luftballon durch die Menge</t>
  </si>
  <si>
    <t xml:space="preserve">a child running through the crowd with a balloon</t>
  </si>
  <si>
    <t xml:space="preserve">G150</t>
  </si>
  <si>
    <t xml:space="preserve">Jemand trägt einen Stapel Kisten und sieht nichts</t>
  </si>
  <si>
    <t xml:space="preserve">someone carrying a stack of crates with no view ahead</t>
  </si>
  <si>
    <t xml:space="preserve">G151</t>
  </si>
  <si>
    <t xml:space="preserve">Berge</t>
  </si>
  <si>
    <t xml:space="preserve">Eine Kuh mit Glocke steht mitten auf dem Wanderweg</t>
  </si>
  <si>
    <t xml:space="preserve">a cow with a bell standing in the middle of the hiking trail</t>
  </si>
  <si>
    <t xml:space="preserve">G152</t>
  </si>
  <si>
    <t xml:space="preserve">Ein Murmeltier pfeift und alle drehen sich erschrocken um</t>
  </si>
  <si>
    <t xml:space="preserve">a marmot whistling loudly, startling everyone</t>
  </si>
  <si>
    <t xml:space="preserve">Murmeltier 2×</t>
  </si>
  <si>
    <t xml:space="preserve">G153</t>
  </si>
  <si>
    <t xml:space="preserve">Jemand rutscht auf einer Wiese den Hang hinunter</t>
  </si>
  <si>
    <t xml:space="preserve">someone sliding down a grassy slope</t>
  </si>
  <si>
    <t xml:space="preserve">G154</t>
  </si>
  <si>
    <t xml:space="preserve">Eine Familie macht ein Picknick mit Blick ins Tal</t>
  </si>
  <si>
    <t xml:space="preserve">a family having a picnic overlooking the valley</t>
  </si>
  <si>
    <t xml:space="preserve">G155</t>
  </si>
  <si>
    <t xml:space="preserve">Ein Adler zieht hoch oben seine Kreise</t>
  </si>
  <si>
    <t xml:space="preserve">an eagle circling high above</t>
  </si>
  <si>
    <t xml:space="preserve">G156</t>
  </si>
  <si>
    <t xml:space="preserve">Kinder bauen einen Steinmann am Wegesrand</t>
  </si>
  <si>
    <t xml:space="preserve">kids building a small stone cairn by the trail</t>
  </si>
  <si>
    <t xml:space="preserve">G157</t>
  </si>
  <si>
    <t xml:space="preserve">Ein Wanderer hat sich verlaufen und studiert die Karte</t>
  </si>
  <si>
    <t xml:space="preserve">a hiker totally lost, studying a map</t>
  </si>
  <si>
    <t xml:space="preserve">Wanderkarte 2× – Vorschlag: eins streichen</t>
  </si>
  <si>
    <t xml:space="preserve">G158</t>
  </si>
  <si>
    <t xml:space="preserve">Ein Schmetterling landet auf jemandes Nase</t>
  </si>
  <si>
    <t xml:space="preserve">a butterfly landing on someone's nose</t>
  </si>
  <si>
    <t xml:space="preserve">G159</t>
  </si>
  <si>
    <t xml:space="preserve">Ein Hund apportiert einen viel zu großen Stock</t>
  </si>
  <si>
    <t xml:space="preserve">a dog fetching a way too big stick</t>
  </si>
  <si>
    <t xml:space="preserve">Vorschlag: streichen – identisch mit G053 (Hund mit zu großem Stock)</t>
  </si>
  <si>
    <t xml:space="preserve">G160</t>
  </si>
  <si>
    <t xml:space="preserve">Am Gipfel jubeln alle und schwenken die Arme</t>
  </si>
  <si>
    <t xml:space="preserve">everyone cheering and waving their arms at the summit</t>
  </si>
  <si>
    <t xml:space="preserve">G161</t>
  </si>
  <si>
    <t xml:space="preserve">Zwei Wanderer teilen sich eine Brotzeit auf einem Felsen</t>
  </si>
  <si>
    <t xml:space="preserve">two hikers sharing a packed lunch on a rock</t>
  </si>
  <si>
    <t xml:space="preserve">G162</t>
  </si>
  <si>
    <t xml:space="preserve">Ein Kind trinkt aus einem Bergbach</t>
  </si>
  <si>
    <t xml:space="preserve">a child drinking from a mountain stream</t>
  </si>
  <si>
    <t xml:space="preserve">G163</t>
  </si>
  <si>
    <t xml:space="preserve">Eine Ziege versperrt den schmalen Pfad</t>
  </si>
  <si>
    <t xml:space="preserve">a goat blocking the narrow path</t>
  </si>
  <si>
    <t xml:space="preserve">G164</t>
  </si>
  <si>
    <t xml:space="preserve">Jemand schnürt die Wanderschuhe neu, der Rucksack liegt daneben</t>
  </si>
  <si>
    <t xml:space="preserve">someone relacing their hiking boots with the backpack beside them</t>
  </si>
  <si>
    <t xml:space="preserve">G165</t>
  </si>
  <si>
    <t xml:space="preserve">Ein Kind sammelt bunte Steine in die Jackentasche</t>
  </si>
  <si>
    <t xml:space="preserve">a child collecting coloured stones in a jacket pocket</t>
  </si>
  <si>
    <t xml:space="preserve">Steine sammeln 2×</t>
  </si>
  <si>
    <t xml:space="preserve">G166</t>
  </si>
  <si>
    <t xml:space="preserve">Eine Seilbahngondel schwebt über die Köpfe hinweg</t>
  </si>
  <si>
    <t xml:space="preserve">a cable car gondola floating over people's heads</t>
  </si>
  <si>
    <t xml:space="preserve">G167</t>
  </si>
  <si>
    <t xml:space="preserve">Zwei Kinder rollen einen Stein den Hang hinunter</t>
  </si>
  <si>
    <t xml:space="preserve">two kids rolling a stone down the slope</t>
  </si>
  <si>
    <t xml:space="preserve">G168</t>
  </si>
  <si>
    <t xml:space="preserve">Eine Wandergruppe stapft im Gänsemarsch bergauf</t>
  </si>
  <si>
    <t xml:space="preserve">a hiking group trudging uphill in single file</t>
  </si>
  <si>
    <t xml:space="preserve">Gänsemarsch 3×</t>
  </si>
  <si>
    <t xml:space="preserve">G169</t>
  </si>
  <si>
    <t xml:space="preserve">Jemand hält die Karte falsch herum, ein anderer dreht sie</t>
  </si>
  <si>
    <t xml:space="preserve">someone holding the map upside down while another turns it</t>
  </si>
  <si>
    <t xml:space="preserve">G170</t>
  </si>
  <si>
    <t xml:space="preserve">Ein Kind springt über einen Bach, der Rucksack fliegt mit</t>
  </si>
  <si>
    <t xml:space="preserve">a child jumping a stream with the backpack flying along</t>
  </si>
  <si>
    <t xml:space="preserve">G171</t>
  </si>
  <si>
    <t xml:space="preserve">Kühe liegen mitten auf dem Weg und rühren sich nicht</t>
  </si>
  <si>
    <t xml:space="preserve">cows lying in the middle of the path not moving</t>
  </si>
  <si>
    <t xml:space="preserve">G172</t>
  </si>
  <si>
    <t xml:space="preserve">Ein Zelt wird aufgebaut, eine Stange fehlt</t>
  </si>
  <si>
    <t xml:space="preserve">a tent being pitched with one pole missing</t>
  </si>
  <si>
    <t xml:space="preserve">G173</t>
  </si>
  <si>
    <t xml:space="preserve">Ein Kind wird auf den letzten Metern zum Gipfel getragen</t>
  </si>
  <si>
    <t xml:space="preserve">a child being carried the last few metres to the summit</t>
  </si>
  <si>
    <t xml:space="preserve">G174</t>
  </si>
  <si>
    <t xml:space="preserve">Jemand hängt nasse Socken an den Rucksack</t>
  </si>
  <si>
    <t xml:space="preserve">someone hanging wet socks on their backpack</t>
  </si>
  <si>
    <t xml:space="preserve">G175</t>
  </si>
  <si>
    <t xml:space="preserve">Ein Murmeltier verschwindet im Loch, zwei Kinder knien davor</t>
  </si>
  <si>
    <t xml:space="preserve">a marmot disappearing into its hole with two kids kneeling in front</t>
  </si>
  <si>
    <t xml:space="preserve">G176</t>
  </si>
  <si>
    <t xml:space="preserve">Eine Almhütte ist belagert, alle Bänke sind voll</t>
  </si>
  <si>
    <t xml:space="preserve">a mountain hut besieged by hikers with every bench taken</t>
  </si>
  <si>
    <t xml:space="preserve">G177</t>
  </si>
  <si>
    <t xml:space="preserve">Ein Kind malt mit dem Finger in ein Altschneefeld</t>
  </si>
  <si>
    <t xml:space="preserve">a child drawing with a finger in an old snow patch</t>
  </si>
  <si>
    <t xml:space="preserve">G178</t>
  </si>
  <si>
    <t xml:space="preserve">Jemand rutscht auf Geröll und wird am Arm gehalten</t>
  </si>
  <si>
    <t xml:space="preserve">someone slipping on scree and being held by the arm</t>
  </si>
  <si>
    <t xml:space="preserve">G179</t>
  </si>
  <si>
    <t xml:space="preserve">Zwei Wanderstöcke stehen verlassen an einem Baum</t>
  </si>
  <si>
    <t xml:space="preserve">two hiking poles left standing against a tree</t>
  </si>
  <si>
    <t xml:space="preserve">G180</t>
  </si>
  <si>
    <t xml:space="preserve">Ein Rucksack wird geöffnet und der halbe Inhalt fällt heraus</t>
  </si>
  <si>
    <t xml:space="preserve">a backpack opened with half its contents falling out</t>
  </si>
  <si>
    <t xml:space="preserve">G181</t>
  </si>
  <si>
    <t xml:space="preserve">Kita/Schule</t>
  </si>
  <si>
    <t xml:space="preserve">Beim Basteln landet mehr Kleber auf den Fingern als auf dem Papier</t>
  </si>
  <si>
    <t xml:space="preserve">more glue ending up on fingers than on the paper during crafts</t>
  </si>
  <si>
    <t xml:space="preserve">G182</t>
  </si>
  <si>
    <t xml:space="preserve">Ein Kind hat die Hausaufgaben zu Hause vergessen</t>
  </si>
  <si>
    <t xml:space="preserve">a kid realizing they forgot their homework at home</t>
  </si>
  <si>
    <t xml:space="preserve">G183</t>
  </si>
  <si>
    <t xml:space="preserve">In der Pause bricht spontan ein Fangenspiel aus</t>
  </si>
  <si>
    <t xml:space="preserve">a spontaneous game of tag breaking out at recess</t>
  </si>
  <si>
    <t xml:space="preserve">G184</t>
  </si>
  <si>
    <t xml:space="preserve">Beim Vorlesen schläft ein Kind fast ein</t>
  </si>
  <si>
    <t xml:space="preserve">a kid almost falling asleep during story time</t>
  </si>
  <si>
    <t xml:space="preserve">G185</t>
  </si>
  <si>
    <t xml:space="preserve">Ein Turnbeutel geht auf und alles kullert heraus</t>
  </si>
  <si>
    <t xml:space="preserve">a gym bag bursting open, everything spilling out</t>
  </si>
  <si>
    <t xml:space="preserve">G186</t>
  </si>
  <si>
    <t xml:space="preserve">Zwei Kinder tauschen heimlich ihre Pausenbrote</t>
  </si>
  <si>
    <t xml:space="preserve">two kids secretly swapping their lunch sandwiches</t>
  </si>
  <si>
    <t xml:space="preserve">G187</t>
  </si>
  <si>
    <t xml:space="preserve">Beim Malen kippt ein Wasserglas über das Bild</t>
  </si>
  <si>
    <t xml:space="preserve">a glass of water tipping over onto a painting</t>
  </si>
  <si>
    <t xml:space="preserve">G188</t>
  </si>
  <si>
    <t xml:space="preserve">Ein Kind versteckt sich beim Verstecken viel zu offensichtlich</t>
  </si>
  <si>
    <t xml:space="preserve">a kid hiding way too obviously during a game of hide and seek</t>
  </si>
  <si>
    <t xml:space="preserve">G189</t>
  </si>
  <si>
    <t xml:space="preserve">In der Bauecke türmt sich ein riesiger Klötzchenturm</t>
  </si>
  <si>
    <t xml:space="preserve">a huge tower of building blocks rising in the play corner</t>
  </si>
  <si>
    <t xml:space="preserve">G190</t>
  </si>
  <si>
    <t xml:space="preserve">Ein Luftballon platzt und alle erschrecken kurz</t>
  </si>
  <si>
    <t xml:space="preserve">a balloon popping and startling everyone for a moment</t>
  </si>
  <si>
    <t xml:space="preserve">G191</t>
  </si>
  <si>
    <t xml:space="preserve">Weihnachten</t>
  </si>
  <si>
    <t xml:space="preserve">Plätzchen werden gebacken, überall liegt viel zu viel Puderzucker</t>
  </si>
  <si>
    <t xml:space="preserve">cookies being baked, powdered sugar dusting everything nearby</t>
  </si>
  <si>
    <t xml:space="preserve">G192</t>
  </si>
  <si>
    <t xml:space="preserve">Eine Lichterkette hat sich hoffnungslos verheddert</t>
  </si>
  <si>
    <t xml:space="preserve">a string of fairy lights hopelessly tangled up</t>
  </si>
  <si>
    <t xml:space="preserve">G193</t>
  </si>
  <si>
    <t xml:space="preserve">Die Katze verschwindet raschelnd im Geschenkpapier</t>
  </si>
  <si>
    <t xml:space="preserve">a cat vanishing into a pile of wrapping paper, making it rustle</t>
  </si>
  <si>
    <t xml:space="preserve">G194</t>
  </si>
  <si>
    <t xml:space="preserve">Vor dem Fenster tobt eine Schneeballschlacht</t>
  </si>
  <si>
    <t xml:space="preserve">a snowball fight raging just outside the window</t>
  </si>
  <si>
    <t xml:space="preserve">G195</t>
  </si>
  <si>
    <t xml:space="preserve">Ein Stern am Weihnachtsbaum hängt schief und wird vorsichtig gerade gerückt</t>
  </si>
  <si>
    <t xml:space="preserve">a crooked star ornament on the tree being carefully straightened</t>
  </si>
  <si>
    <t xml:space="preserve">G196</t>
  </si>
  <si>
    <t xml:space="preserve">Der Hund hat sich eine Wurstkette vom Baum geschnappt</t>
  </si>
  <si>
    <t xml:space="preserve">a dog snatching a string of sausage-shaped ornaments off the tree</t>
  </si>
  <si>
    <t xml:space="preserve">G197</t>
  </si>
  <si>
    <t xml:space="preserve">Ein Kind lugt heimlich unter das Papier eines Geschenks</t>
  </si>
  <si>
    <t xml:space="preserve">a kid secretly peeking under the wrapping paper of a present</t>
  </si>
  <si>
    <t xml:space="preserve">G198</t>
  </si>
  <si>
    <t xml:space="preserve">Kakao kocht über und tropft vom Tisch</t>
  </si>
  <si>
    <t xml:space="preserve">hot cocoa boiling over and dripping off the table</t>
  </si>
  <si>
    <t xml:space="preserve">G199</t>
  </si>
  <si>
    <t xml:space="preserve">Ein Türchen des Adventskalenders wurde viel zu früh geöffnet</t>
  </si>
  <si>
    <t xml:space="preserve">an advent calendar door opened way too early</t>
  </si>
  <si>
    <t xml:space="preserve">G200</t>
  </si>
  <si>
    <t xml:space="preserve">Opa nickt im Sessel ein, während um ihn herum Geschenke eingepackt werden</t>
  </si>
  <si>
    <t xml:space="preserve">grandpa dozing off in his armchair while presents get wrapped all around him</t>
  </si>
  <si>
    <t xml:space="preserve">G201</t>
  </si>
  <si>
    <t xml:space="preserve">Eine Rolle Geschenkband rollt quer durchs Zimmer</t>
  </si>
  <si>
    <t xml:space="preserve">a roll of ribbon unspooling across the room</t>
  </si>
  <si>
    <t xml:space="preserve">G202</t>
  </si>
  <si>
    <t xml:space="preserve">Draußen baut jemand hastig einen schiefen Schneemann, bevor es dunkel wird</t>
  </si>
  <si>
    <t xml:space="preserve">someone hastily building a lopsided snowman outside before it gets dark</t>
  </si>
  <si>
    <t xml:space="preserve">Schnee bauen 2×</t>
  </si>
  <si>
    <t xml:space="preserve">G203</t>
  </si>
  <si>
    <t xml:space="preserve">Ein Stiefel steht vor der Tür, der Hund schnuppert daran</t>
  </si>
  <si>
    <t xml:space="preserve">a boot placed outside the door with the dog sniffing it</t>
  </si>
  <si>
    <t xml:space="preserve">G204</t>
  </si>
  <si>
    <t xml:space="preserve">Zwei Kinder schmücken den Baum nur unten, oben bleibt leer</t>
  </si>
  <si>
    <t xml:space="preserve">two kids decorating only the bottom of the tree, the top left bare</t>
  </si>
  <si>
    <t xml:space="preserve">G205</t>
  </si>
  <si>
    <t xml:space="preserve">Jemand trägt einen Stapel Teller in die Stube</t>
  </si>
  <si>
    <t xml:space="preserve">someone carrying a stack of plates into the parlour</t>
  </si>
  <si>
    <t xml:space="preserve">G206</t>
  </si>
  <si>
    <t xml:space="preserve">Ein Kind zählt die Geschenke unter dem Baum</t>
  </si>
  <si>
    <t xml:space="preserve">a child counting the presents under the tree</t>
  </si>
  <si>
    <t xml:space="preserve">G207</t>
  </si>
  <si>
    <t xml:space="preserve">Eine Kerze wird angezündet, alle schauen hin</t>
  </si>
  <si>
    <t xml:space="preserve">a candle being lit with everyone looking</t>
  </si>
  <si>
    <t xml:space="preserve">G208</t>
  </si>
  <si>
    <t xml:space="preserve">Der Braten wird aus dem Ofen gezogen, Dampf überall</t>
  </si>
  <si>
    <t xml:space="preserve">the roast pulled from the oven with steam everywhere</t>
  </si>
  <si>
    <t xml:space="preserve">G209</t>
  </si>
  <si>
    <t xml:space="preserve">Zwei Kinder warten auf der Treppe und schauen durchs Geländer</t>
  </si>
  <si>
    <t xml:space="preserve">two kids waiting on the stairs and looking through the banister</t>
  </si>
  <si>
    <t xml:space="preserve">Treppe/Geländer 3×</t>
  </si>
  <si>
    <t xml:space="preserve">G210</t>
  </si>
  <si>
    <t xml:space="preserve">Jemand versteckt ein Geschenk hinter dem Rücken</t>
  </si>
  <si>
    <t xml:space="preserve">someone hiding a present behind their back</t>
  </si>
  <si>
    <t xml:space="preserve">Geschenk hinter dem Rücken 2×</t>
  </si>
  <si>
    <t xml:space="preserve">G211</t>
  </si>
  <si>
    <t xml:space="preserve">Der Christbaumständer wackelt, zwei halten den Baum fest</t>
  </si>
  <si>
    <t xml:space="preserve">the tree stand wobbling with two people steadying the tree</t>
  </si>
  <si>
    <t xml:space="preserve">Baum festhalten 2×</t>
  </si>
  <si>
    <t xml:space="preserve">G212</t>
  </si>
  <si>
    <t xml:space="preserve">Ein Kind hat Watte als Schneebart im Gesicht</t>
  </si>
  <si>
    <t xml:space="preserve">a child with cotton wool as a snowy beard on their face</t>
  </si>
  <si>
    <t xml:space="preserve">G213</t>
  </si>
  <si>
    <t xml:space="preserve">Draußen wird eine Laterne aus Schneebällen gebaut</t>
  </si>
  <si>
    <t xml:space="preserve">a lantern being built from snowballs outside</t>
  </si>
  <si>
    <t xml:space="preserve">G214</t>
  </si>
  <si>
    <t xml:space="preserve">Jemand trägt Brennholz herein, ein Scheit fällt</t>
  </si>
  <si>
    <t xml:space="preserve">someone carrying firewood in with one log falling</t>
  </si>
  <si>
    <t xml:space="preserve">G215</t>
  </si>
  <si>
    <t xml:space="preserve">Zwei Kinder ziehen an denselben Geschenkbändern</t>
  </si>
  <si>
    <t xml:space="preserve">two kids pulling on the same gift ribbons</t>
  </si>
  <si>
    <t xml:space="preserve">G216</t>
  </si>
  <si>
    <t xml:space="preserve">Der Hund liegt unter dem Baum auf dem Geschenkpapier</t>
  </si>
  <si>
    <t xml:space="preserve">the dog lying on the wrapping paper under the tree</t>
  </si>
  <si>
    <t xml:space="preserve">G217</t>
  </si>
  <si>
    <t xml:space="preserve">Jemand klebt einen Stern ans Fenster</t>
  </si>
  <si>
    <t xml:space="preserve">someone sticking a star onto the window</t>
  </si>
  <si>
    <t xml:space="preserve">G218</t>
  </si>
  <si>
    <t xml:space="preserve">Ein Kind steht auf einem Stuhl, um an die oberste Kugel zu kommen</t>
  </si>
  <si>
    <t xml:space="preserve">a child standing on a chair to reach the topmost bauble</t>
  </si>
  <si>
    <t xml:space="preserve">G219</t>
  </si>
  <si>
    <t xml:space="preserve">Eine Schlittenfahrt endet in einer Schneewehe</t>
  </si>
  <si>
    <t xml:space="preserve">a sledge ride ending in a snowdrift</t>
  </si>
  <si>
    <t xml:space="preserve">G220</t>
  </si>
  <si>
    <t xml:space="preserve">Die Tischdecke wird mit vier Händen gerade gezogen</t>
  </si>
  <si>
    <t xml:space="preserve">the tablecloth being straightened by four hands</t>
  </si>
  <si>
    <t xml:space="preserve">G221</t>
  </si>
  <si>
    <t xml:space="preserve">Überall</t>
  </si>
  <si>
    <t xml:space="preserve">Jemand verliert beim Rennen einen Schuh</t>
  </si>
  <si>
    <t xml:space="preserve">someone losing a shoe while running</t>
  </si>
  <si>
    <t xml:space="preserve">G222</t>
  </si>
  <si>
    <t xml:space="preserve">Ein Hund schnappt sich etwas und rennt fröhlich davon</t>
  </si>
  <si>
    <t xml:space="preserve">a dog grabbing something and running off happily</t>
  </si>
  <si>
    <t xml:space="preserve">G223</t>
  </si>
  <si>
    <t xml:space="preserve">Zwei Kinder liefern sich ein spontanes Wettrennen</t>
  </si>
  <si>
    <t xml:space="preserve">two kids having a spontaneous race</t>
  </si>
  <si>
    <t xml:space="preserve">G224</t>
  </si>
  <si>
    <t xml:space="preserve">Jemand balanciert vorsichtig etwas, das gleich herunterfallen könnte</t>
  </si>
  <si>
    <t xml:space="preserve">someone carefully balancing something that's about to topple over</t>
  </si>
  <si>
    <t xml:space="preserve">G225</t>
  </si>
  <si>
    <t xml:space="preserve">Eine kleine Gruppe staunt über etwas ganz Neues</t>
  </si>
  <si>
    <t xml:space="preserve">a small group staring in wonder at something new</t>
  </si>
  <si>
    <t xml:space="preserve">G226</t>
  </si>
  <si>
    <t xml:space="preserve">Ein Regenschirm dreht sich im Wind fast um</t>
  </si>
  <si>
    <t xml:space="preserve">an umbrella nearly flipping inside out in the wind</t>
  </si>
  <si>
    <t xml:space="preserve">G227</t>
  </si>
  <si>
    <t xml:space="preserve">Jemand hat sich verkleidet und sorgt für Aufsehen</t>
  </si>
  <si>
    <t xml:space="preserve">someone in a costume causing a stir</t>
  </si>
  <si>
    <t xml:space="preserve">G228</t>
  </si>
  <si>
    <t xml:space="preserve">Zwei Freunde teilen sich ein Eis, bevor es schmilzt</t>
  </si>
  <si>
    <t xml:space="preserve">two friends sharing an ice cream before it melts</t>
  </si>
  <si>
    <t xml:space="preserve">G229</t>
  </si>
  <si>
    <t xml:space="preserve">Ein Vogel landet frech mitten in der Szene</t>
  </si>
  <si>
    <t xml:space="preserve">a bird cheekily landing right in the middle of the scene</t>
  </si>
  <si>
    <t xml:space="preserve">G230</t>
  </si>
  <si>
    <t xml:space="preserve">Jemand winkt fröhlich allen anderen zu</t>
  </si>
  <si>
    <t xml:space="preserve">someone waving happily at everyone else</t>
  </si>
  <si>
    <t xml:space="preserve">G231</t>
  </si>
  <si>
    <t xml:space="preserve">Jemand bindet sich im Laufen den Schnürsenkel</t>
  </si>
  <si>
    <t xml:space="preserve">someone tying a shoelace while still moving</t>
  </si>
  <si>
    <t xml:space="preserve">G232</t>
  </si>
  <si>
    <t xml:space="preserve">Zwei Kinder zählen etwas auf den Fingern ab</t>
  </si>
  <si>
    <t xml:space="preserve">two kids counting something on their fingers</t>
  </si>
  <si>
    <t xml:space="preserve">G233</t>
  </si>
  <si>
    <t xml:space="preserve">Ein Kind zeigt auf etwas außerhalb des Bildes</t>
  </si>
  <si>
    <t xml:space="preserve">a child pointing at something outside the picture</t>
  </si>
  <si>
    <t xml:space="preserve">G234</t>
  </si>
  <si>
    <t xml:space="preserve">Jemand trägt zwei Sachen und bräuchte eine dritte Hand</t>
  </si>
  <si>
    <t xml:space="preserve">someone carrying two things and needing a third hand</t>
  </si>
  <si>
    <t xml:space="preserve">G235</t>
  </si>
  <si>
    <t xml:space="preserve">Zwei Leute tragen etwas Langes und kommen um die Ecke nicht herum</t>
  </si>
  <si>
    <t xml:space="preserve">two people carrying something long and unable to get round a corner</t>
  </si>
  <si>
    <t xml:space="preserve">G236</t>
  </si>
  <si>
    <t xml:space="preserve">Ein Kind hält einem anderen die Augen zu</t>
  </si>
  <si>
    <t xml:space="preserve">a child covering another's eyes with their hands</t>
  </si>
  <si>
    <t xml:space="preserve">G237</t>
  </si>
  <si>
    <t xml:space="preserve">Jemand sucht etwas in einer viel zu großen Tasche</t>
  </si>
  <si>
    <t xml:space="preserve">someone searching in a far too large bag</t>
  </si>
  <si>
    <t xml:space="preserve">G238</t>
  </si>
  <si>
    <t xml:space="preserve">Ein Hut wird im letzten Moment festgehalten</t>
  </si>
  <si>
    <t xml:space="preserve">a hat grabbed at the last moment</t>
  </si>
  <si>
    <t xml:space="preserve">G239</t>
  </si>
  <si>
    <t xml:space="preserve">Ein Kind läuft rückwärts und schaut nach vorn</t>
  </si>
  <si>
    <t xml:space="preserve">a child walking backwards while looking forward</t>
  </si>
  <si>
    <t xml:space="preserve">G240</t>
  </si>
  <si>
    <t xml:space="preserve">Zwei Geschwister tragen eine Kiste, eine Seite hängt durch</t>
  </si>
  <si>
    <t xml:space="preserve">two siblings carrying a crate together with one side dipping</t>
  </si>
  <si>
    <t xml:space="preserve">G241</t>
  </si>
  <si>
    <t xml:space="preserve">Jemand winkt jemandem zu, der schon weit weg ist</t>
  </si>
  <si>
    <t xml:space="preserve">someone waving to a person already far away</t>
  </si>
  <si>
    <t xml:space="preserve">G242</t>
  </si>
  <si>
    <t xml:space="preserve">Ein Kind sammelt etwas vom Boden in die Hosentasche</t>
  </si>
  <si>
    <t xml:space="preserve">a child gathering something from the ground into a trouser pocket</t>
  </si>
  <si>
    <t xml:space="preserve">G243</t>
  </si>
  <si>
    <t xml:space="preserve">Jemand schaut durch ein Fernglas in die falsche Richtung</t>
  </si>
  <si>
    <t xml:space="preserve">someone looking through binoculars the wrong way round</t>
  </si>
  <si>
    <t xml:space="preserve">G244</t>
  </si>
  <si>
    <t xml:space="preserve">Ein Kind trägt etwas Zerbrechliches mit beiden Händen</t>
  </si>
  <si>
    <t xml:space="preserve">a child carrying something fragile with both hands</t>
  </si>
  <si>
    <t xml:space="preserve">Zerbrechliches tragen 2×</t>
  </si>
  <si>
    <t xml:space="preserve">GR001</t>
  </si>
  <si>
    <t xml:space="preserve">Mitte</t>
  </si>
  <si>
    <t xml:space="preserve">Eine Schlange am Hofladen, mindestens acht Leute hintereinander</t>
  </si>
  <si>
    <t xml:space="preserve">a queue at the little farm shop, at least eight people standing one behind the other</t>
  </si>
  <si>
    <t xml:space="preserve">Warteschlange/Warten: 10 von 52 Gruppen – Hauptgrund für „sieht gleich aus“</t>
  </si>
  <si>
    <t xml:space="preserve">GR002</t>
  </si>
  <si>
    <t xml:space="preserve">Eine Kindergruppe klettert gemeinsam ueber die Strohballen</t>
  </si>
  <si>
    <t xml:space="preserve">a group of about ten children clambering over a stack of straw bales together</t>
  </si>
  <si>
    <t xml:space="preserve">GR003</t>
  </si>
  <si>
    <t xml:space="preserve">Eine fuenfkoepfige Familie beim Picknick in der Obstwiese</t>
  </si>
  <si>
    <t xml:space="preserve">a family of five spread out on a picnic blanket in the orchard</t>
  </si>
  <si>
    <t xml:space="preserve">GR004</t>
  </si>
  <si>
    <t xml:space="preserve">hinten</t>
  </si>
  <si>
    <t xml:space="preserve">Zuschauer am Koppelzaun, acht oder neun nebeneinander</t>
  </si>
  <si>
    <t xml:space="preserve">a row of spectators leaning on the paddock fence, eight or nine of them side by side</t>
  </si>
  <si>
    <t xml:space="preserve">GR005</t>
  </si>
  <si>
    <t xml:space="preserve">Ein Erntetrupp von acht Leuten in der Apfelbaumreihe, teils auf Leitern</t>
  </si>
  <si>
    <t xml:space="preserve">a harvest crew of eight working along a row of apple trees, some up ladders, some carrying crates</t>
  </si>
  <si>
    <t xml:space="preserve">GR006</t>
  </si>
  <si>
    <t xml:space="preserve">Eine lange Tafel im Hof, ein Dutzend Leute sitzt und isst</t>
  </si>
  <si>
    <t xml:space="preserve">a long table out in the yard with a dozen people sitting along it, eating together</t>
  </si>
  <si>
    <t xml:space="preserve">GR007</t>
  </si>
  <si>
    <t xml:space="preserve">Acht Leute draengen sich um einen Traktor, den jemand vorfuehrt</t>
  </si>
  <si>
    <t xml:space="preserve">a cluster of about eight people crowding around a tractor that someone is showing off</t>
  </si>
  <si>
    <t xml:space="preserve">GR008</t>
  </si>
  <si>
    <t xml:space="preserve">Eine Schulklasse von zwoelf Kindern wird in loser Reihe ueber den Hof gefuehrt</t>
  </si>
  <si>
    <t xml:space="preserve">a school class of twelve children being led across the yard in a straggly line</t>
  </si>
  <si>
    <t xml:space="preserve">GR009</t>
  </si>
  <si>
    <t xml:space="preserve">Ein Chor von etwa zehn Leuten singt gemeinsam an der Tuer</t>
  </si>
  <si>
    <t xml:space="preserve">a choir of about ten people singing together by the door</t>
  </si>
  <si>
    <t xml:space="preserve">GR010</t>
  </si>
  <si>
    <t xml:space="preserve">Eine achtkoepfige Familie draengt sich um den Esstisch</t>
  </si>
  <si>
    <t xml:space="preserve">a family of eight squeezed around the dinner table, plates and glasses everywhere</t>
  </si>
  <si>
    <t xml:space="preserve">GR011</t>
  </si>
  <si>
    <t xml:space="preserve">Acht Kinder warten in einer Reihe, bis sie ihr Geschenk bekommen</t>
  </si>
  <si>
    <t xml:space="preserve">a queue of eight children waiting their turn at the presents</t>
  </si>
  <si>
    <t xml:space="preserve">GR012</t>
  </si>
  <si>
    <t xml:space="preserve">Neun Verwandte draengen sich gleichzeitig in den Flur, Maentel halb aus</t>
  </si>
  <si>
    <t xml:space="preserve">a knot of about nine relatives crowded into the hallway, coats half off, all arriving at once</t>
  </si>
  <si>
    <t xml:space="preserve">GR013</t>
  </si>
  <si>
    <t xml:space="preserve">Zehn Sternsinger mit Laternen vor dem Fenster</t>
  </si>
  <si>
    <t xml:space="preserve">a group of ten carol singers with lanterns outside the window</t>
  </si>
  <si>
    <t xml:space="preserve">GR014</t>
  </si>
  <si>
    <t xml:space="preserve">Ein Dutzend Leute auf und um ein einziges Sofa vor dem Baum</t>
  </si>
  <si>
    <t xml:space="preserve">a dozen people packed onto and around one single sofa in front of the tree</t>
  </si>
  <si>
    <t xml:space="preserve">GR015</t>
  </si>
  <si>
    <t xml:space="preserve">Acht Leute stehen in der Kuechentuer und wollen alle gleichzeitig helfen</t>
  </si>
  <si>
    <t xml:space="preserve">a cluster of eight people in the kitchen doorway, all trying to help at once</t>
  </si>
  <si>
    <t xml:space="preserve">GR016</t>
  </si>
  <si>
    <t xml:space="preserve">Neun Kinder sitzen in einer Reihe auf der Treppe und schauen zu</t>
  </si>
  <si>
    <t xml:space="preserve">a row of nine children sitting on the stairs watching the grown-ups</t>
  </si>
  <si>
    <t xml:space="preserve">GR017</t>
  </si>
  <si>
    <t xml:space="preserve">Eine Schlange von zehn Leuten am Eisstand</t>
  </si>
  <si>
    <t xml:space="preserve">a queue of about ten people at the ice cream stand</t>
  </si>
  <si>
    <t xml:space="preserve">Eis 9× im Katalog – stärkster Wiederholer; Warteschlange/Warten: 10 von 52 Gruppen – Hauptgrund für „sieht gleich aus“</t>
  </si>
  <si>
    <t xml:space="preserve">GR018</t>
  </si>
  <si>
    <t xml:space="preserve">Ein Volleyballspiel mit zwoelf Spielern und einem Ring Zuschauer</t>
  </si>
  <si>
    <t xml:space="preserve">a volleyball game with twelve players and a ring of onlookers around it</t>
  </si>
  <si>
    <t xml:space="preserve">GR019</t>
  </si>
  <si>
    <t xml:space="preserve">Eine sechskoepfige Familie unter einem viel zu kleinen Sonnenschirm</t>
  </si>
  <si>
    <t xml:space="preserve">a family of six crowded under one far too small parasol</t>
  </si>
  <si>
    <t xml:space="preserve">GR020</t>
  </si>
  <si>
    <t xml:space="preserve">Ein Schwimmkurs, ein Dutzend Kinder in einer Reihe im flachen Wasser</t>
  </si>
  <si>
    <t xml:space="preserve">a swimming lesson with a dozen children lined up in the shallows</t>
  </si>
  <si>
    <t xml:space="preserve">GR021</t>
  </si>
  <si>
    <t xml:space="preserve">Acht Sonnenbadende dicht nebeneinander im Sand</t>
  </si>
  <si>
    <t xml:space="preserve">a row of eight sunbathers packed side by side on the sand</t>
  </si>
  <si>
    <t xml:space="preserve">GR022</t>
  </si>
  <si>
    <t xml:space="preserve">Neun Leute draengen sich um ein Tretboot, das den Strand hochgezogen wird</t>
  </si>
  <si>
    <t xml:space="preserve">a cluster of about nine people crowded around a pedalo being dragged up the beach</t>
  </si>
  <si>
    <t xml:space="preserve">GR023</t>
  </si>
  <si>
    <t xml:space="preserve">Zehn Kinder graben gemeinsam ein riesiges Loch</t>
  </si>
  <si>
    <t xml:space="preserve">a group of ten children digging one enormous hole together</t>
  </si>
  <si>
    <t xml:space="preserve">GR024</t>
  </si>
  <si>
    <t xml:space="preserve">Zwoelf Leute warten am Strandkiosk</t>
  </si>
  <si>
    <t xml:space="preserve">a line of twelve people waiting at the beach kiosk</t>
  </si>
  <si>
    <t xml:space="preserve">GR025</t>
  </si>
  <si>
    <t xml:space="preserve">Eine Schlange von zehn Wanderern an der Bergbahn</t>
  </si>
  <si>
    <t xml:space="preserve">a queue of about ten walkers at the cable car station</t>
  </si>
  <si>
    <t xml:space="preserve">GR026</t>
  </si>
  <si>
    <t xml:space="preserve">Ein Dutzend Leute an den langen Tischen der Huettenterrasse</t>
  </si>
  <si>
    <t xml:space="preserve">a dozen people packed onto the terrace of the mountain hut, all at long tables</t>
  </si>
  <si>
    <t xml:space="preserve">GR027</t>
  </si>
  <si>
    <t xml:space="preserve">Eine Wandergruppe von neun Leuten im Gaensemarsch auf dem Pfad</t>
  </si>
  <si>
    <t xml:space="preserve">a hiking group of nine strung out along the path in single file</t>
  </si>
  <si>
    <t xml:space="preserve">GR028</t>
  </si>
  <si>
    <t xml:space="preserve">Eine Schulgruppe von zwoelf Kindern mit Fuehrer am Aussichtspunkt</t>
  </si>
  <si>
    <t xml:space="preserve">a school group of twelve children with a guide at a viewpoint</t>
  </si>
  <si>
    <t xml:space="preserve">GR029</t>
  </si>
  <si>
    <t xml:space="preserve">Acht Leute stehen um einen Wegweiser und zeigen in verschiedene Richtungen</t>
  </si>
  <si>
    <t xml:space="preserve">a cluster of eight people crowded around a signpost, all pointing in different directions</t>
  </si>
  <si>
    <t xml:space="preserve">GR030</t>
  </si>
  <si>
    <t xml:space="preserve">Zehn Leute warten am Sessellift</t>
  </si>
  <si>
    <t xml:space="preserve">a queue of ten people waiting at the chairlift</t>
  </si>
  <si>
    <t xml:space="preserve">GR031</t>
  </si>
  <si>
    <t xml:space="preserve">Eine sechskoepfige Familie rastet gemeinsam auf einer Bank mit Aussicht</t>
  </si>
  <si>
    <t xml:space="preserve">a family of six resting together on a bench with a view</t>
  </si>
  <si>
    <t xml:space="preserve">GR032</t>
  </si>
  <si>
    <t xml:space="preserve">Neun Leute sammeln sich um das Gipfelkreuz</t>
  </si>
  <si>
    <t xml:space="preserve">a group of about nine people gathered around a summit cross</t>
  </si>
  <si>
    <t xml:space="preserve">GR033</t>
  </si>
  <si>
    <t xml:space="preserve">Eine Schlange von einem Dutzend Leuten an einem Marktstand</t>
  </si>
  <si>
    <t xml:space="preserve">a queue of a dozen people at a market stall</t>
  </si>
  <si>
    <t xml:space="preserve">GR034</t>
  </si>
  <si>
    <t xml:space="preserve">Etwa fuenfzehn Leute warten an der Tramhaltestelle</t>
  </si>
  <si>
    <t xml:space="preserve">a crowd of about fifteen people waiting at the tram stop</t>
  </si>
  <si>
    <t xml:space="preserve">GR035</t>
  </si>
  <si>
    <t xml:space="preserve">Zehn Leute ueberqueren gleichzeitig den Zebrastreifen</t>
  </si>
  <si>
    <t xml:space="preserve">a group of ten people packed onto a zebra crossing, all crossing at once</t>
  </si>
  <si>
    <t xml:space="preserve">GR036</t>
  </si>
  <si>
    <t xml:space="preserve">Ein Strassencafe mit einem Dutzend Leuten an den Aussentischen</t>
  </si>
  <si>
    <t xml:space="preserve">a pavement cafe with a dozen people at the outside tables</t>
  </si>
  <si>
    <t xml:space="preserve">GR037</t>
  </si>
  <si>
    <t xml:space="preserve">Ein Ring von zehn Zuschauern um einen Strassenmusiker</t>
  </si>
  <si>
    <t xml:space="preserve">a ring of about ten onlookers around a street musician</t>
  </si>
  <si>
    <t xml:space="preserve">GR038</t>
  </si>
  <si>
    <t xml:space="preserve">Eine Schulklasse von zwoelf Kindern geht zu zweit den Gehweg entlang</t>
  </si>
  <si>
    <t xml:space="preserve">a school class of twelve children walking along the pavement two by two</t>
  </si>
  <si>
    <t xml:space="preserve">GR039</t>
  </si>
  <si>
    <t xml:space="preserve">Neun Leute draengen sich um einen Zeitungskiosk</t>
  </si>
  <si>
    <t xml:space="preserve">a cluster of nine people crowded around a newspaper kiosk</t>
  </si>
  <si>
    <t xml:space="preserve">GR040</t>
  </si>
  <si>
    <t xml:space="preserve">Zehn Leute stehen vor einer Baeckerei bis auf den Gehweg hinaus</t>
  </si>
  <si>
    <t xml:space="preserve">a queue of ten people outside a bakery, out of the door and along the wall</t>
  </si>
  <si>
    <t xml:space="preserve">GR041</t>
  </si>
  <si>
    <t xml:space="preserve">Acht Kinder warten in einer Reihe an der Rutsche</t>
  </si>
  <si>
    <t xml:space="preserve">a queue of about eight children waiting their turn at the slide</t>
  </si>
  <si>
    <t xml:space="preserve">GR042</t>
  </si>
  <si>
    <t xml:space="preserve">Ein Familienpicknick mit neun Leuten auf zwei Decken</t>
  </si>
  <si>
    <t xml:space="preserve">a family picnic with nine people spread over two blankets</t>
  </si>
  <si>
    <t xml:space="preserve">GR043</t>
  </si>
  <si>
    <t xml:space="preserve">Ein Dutzend Kinder spielt Fangen quer ueber die Wiese</t>
  </si>
  <si>
    <t xml:space="preserve">a group of a dozen children playing a chasing game across the grass</t>
  </si>
  <si>
    <t xml:space="preserve">GR044</t>
  </si>
  <si>
    <t xml:space="preserve">Zehn Eltern stehen im Kreis und reden, waehrend die Kinder um sie herumrennen</t>
  </si>
  <si>
    <t xml:space="preserve">a ring of ten parents standing and talking while children run around them</t>
  </si>
  <si>
    <t xml:space="preserve">GR045</t>
  </si>
  <si>
    <t xml:space="preserve">Ein Geburtstag mit elf Kindern um einen Tisch</t>
  </si>
  <si>
    <t xml:space="preserve">a birthday party with eleven children around one table</t>
  </si>
  <si>
    <t xml:space="preserve">GR046</t>
  </si>
  <si>
    <t xml:space="preserve">Acht Kinder warten an den Schaukeln</t>
  </si>
  <si>
    <t xml:space="preserve">a line of eight children waiting at the swings</t>
  </si>
  <si>
    <t xml:space="preserve">GR047</t>
  </si>
  <si>
    <t xml:space="preserve">Ein Fussballspiel mit zwoelf Kindern und einer Handvoll Zuschauer</t>
  </si>
  <si>
    <t xml:space="preserve">a football game with twelve children and a handful of watchers</t>
  </si>
  <si>
    <t xml:space="preserve">GR048</t>
  </si>
  <si>
    <t xml:space="preserve">Neun Leute draengen sich um den Eiswagen</t>
  </si>
  <si>
    <t xml:space="preserve">a cluster of nine people around the ice cream van</t>
  </si>
  <si>
    <t xml:space="preserve">GR049</t>
  </si>
  <si>
    <t xml:space="preserve">Eine Schlange von etwa zehn Leuten, die auf etwas warten</t>
  </si>
  <si>
    <t xml:space="preserve">a queue of about ten people waiting their turn at something</t>
  </si>
  <si>
    <t xml:space="preserve">GR050</t>
  </si>
  <si>
    <t xml:space="preserve">Eine sechskoepfige Familie dicht beieinander</t>
  </si>
  <si>
    <t xml:space="preserve">a family of six standing close together in one spot</t>
  </si>
  <si>
    <t xml:space="preserve">GR051</t>
  </si>
  <si>
    <t xml:space="preserve">Ein Dutzend Kinder zieht gemeinsam durch die Szene</t>
  </si>
  <si>
    <t xml:space="preserve">a group of a dozen children moving through the scene together</t>
  </si>
  <si>
    <t xml:space="preserve">GR052</t>
  </si>
  <si>
    <t xml:space="preserve">Neun Zuschauer stehen im Ring um etwas herum, das gerade passiert</t>
  </si>
  <si>
    <t xml:space="preserve">a ring of nine onlookers around something that is happening</t>
  </si>
  <si>
    <t xml:space="preserve">H001</t>
  </si>
  <si>
    <t xml:space="preserve">füttert ein Lamm aus der Flasche</t>
  </si>
  <si>
    <t xml:space="preserve">feeding a lamb from a bottle</t>
  </si>
  <si>
    <t xml:space="preserve">H002</t>
  </si>
  <si>
    <t xml:space="preserve">trägt einen Eimer Futter mit beiden Händen</t>
  </si>
  <si>
    <t xml:space="preserve">carrying a bucket of feed with both hands</t>
  </si>
  <si>
    <t xml:space="preserve">H003</t>
  </si>
  <si>
    <t xml:space="preserve">klettert auf einen Strohballen</t>
  </si>
  <si>
    <t xml:space="preserve">climbing onto a straw bale</t>
  </si>
  <si>
    <t xml:space="preserve">H004</t>
  </si>
  <si>
    <t xml:space="preserve">streichelt ein Kalb über die Stirn</t>
  </si>
  <si>
    <t xml:space="preserve">stroking a calf on the forehead</t>
  </si>
  <si>
    <t xml:space="preserve">H005</t>
  </si>
  <si>
    <t xml:space="preserve">sitzt auf dem Zaun und schaut über den Hof</t>
  </si>
  <si>
    <t xml:space="preserve">sitting on the fence looking across the yard</t>
  </si>
  <si>
    <t xml:space="preserve">H006</t>
  </si>
  <si>
    <t xml:space="preserve">hält ein Huhn im Arm</t>
  </si>
  <si>
    <t xml:space="preserve">holding a chicken in their arms</t>
  </si>
  <si>
    <t xml:space="preserve">H007</t>
  </si>
  <si>
    <t xml:space="preserve">schiebt eine Schubkarre voller Äpfel</t>
  </si>
  <si>
    <t xml:space="preserve">pushing a wheelbarrow full of apples</t>
  </si>
  <si>
    <t xml:space="preserve">H008</t>
  </si>
  <si>
    <t xml:space="preserve">sammelt Eier in einen Korb</t>
  </si>
  <si>
    <t xml:space="preserve">gathering eggs into a basket</t>
  </si>
  <si>
    <t xml:space="preserve">H009</t>
  </si>
  <si>
    <t xml:space="preserve">gräbt den Graben um eine Sandburg</t>
  </si>
  <si>
    <t xml:space="preserve">digging the moat around a sandcastle</t>
  </si>
  <si>
    <t xml:space="preserve">H010</t>
  </si>
  <si>
    <t xml:space="preserve">hält ein Holzboot ins Wasser</t>
  </si>
  <si>
    <t xml:space="preserve">holding a wooden boat into the water</t>
  </si>
  <si>
    <t xml:space="preserve">H011</t>
  </si>
  <si>
    <t xml:space="preserve">springt über eine auslaufende Welle</t>
  </si>
  <si>
    <t xml:space="preserve">jumping over a running-out wave</t>
  </si>
  <si>
    <t xml:space="preserve">H012</t>
  </si>
  <si>
    <t xml:space="preserve">trägt zwei Eimer Wasser</t>
  </si>
  <si>
    <t xml:space="preserve">carrying two buckets of water</t>
  </si>
  <si>
    <t xml:space="preserve">H013</t>
  </si>
  <si>
    <t xml:space="preserve">sucht Muscheln im Spülsaum</t>
  </si>
  <si>
    <t xml:space="preserve">searching for shells along the waterline</t>
  </si>
  <si>
    <t xml:space="preserve">H014</t>
  </si>
  <si>
    <t xml:space="preserve">hält einen Drachen an der Schnur</t>
  </si>
  <si>
    <t xml:space="preserve">holding a kite by its string</t>
  </si>
  <si>
    <t xml:space="preserve">H015</t>
  </si>
  <si>
    <t xml:space="preserve">steht bis zu den Knien im Wasser und schaut hinunter</t>
  </si>
  <si>
    <t xml:space="preserve">standing knee-deep in the water looking down</t>
  </si>
  <si>
    <t xml:space="preserve">H016</t>
  </si>
  <si>
    <t xml:space="preserve">schaufelt Sand über die Füße von jemandem</t>
  </si>
  <si>
    <t xml:space="preserve">shovelling sand over someone's feet</t>
  </si>
  <si>
    <t xml:space="preserve">H017</t>
  </si>
  <si>
    <t xml:space="preserve">schaukelt im Stehen</t>
  </si>
  <si>
    <t xml:space="preserve">swinging while standing up</t>
  </si>
  <si>
    <t xml:space="preserve">H018</t>
  </si>
  <si>
    <t xml:space="preserve">klettert die Leiter zur Rutsche hoch</t>
  </si>
  <si>
    <t xml:space="preserve">climbing the ladder to the slide</t>
  </si>
  <si>
    <t xml:space="preserve">H019</t>
  </si>
  <si>
    <t xml:space="preserve">hält einen Ball unter dem Arm</t>
  </si>
  <si>
    <t xml:space="preserve">holding a ball under one arm</t>
  </si>
  <si>
    <t xml:space="preserve">H020</t>
  </si>
  <si>
    <t xml:space="preserve">malt mit Kreide auf den Weg</t>
  </si>
  <si>
    <t xml:space="preserve">drawing on the path with chalk</t>
  </si>
  <si>
    <t xml:space="preserve">H021</t>
  </si>
  <si>
    <t xml:space="preserve">füttert Enten am Teich</t>
  </si>
  <si>
    <t xml:space="preserve">feeding ducks at the pond</t>
  </si>
  <si>
    <t xml:space="preserve">H022</t>
  </si>
  <si>
    <t xml:space="preserve">hängt am Klettergerüst</t>
  </si>
  <si>
    <t xml:space="preserve">hanging from the climbing frame</t>
  </si>
  <si>
    <t xml:space="preserve">H023</t>
  </si>
  <si>
    <t xml:space="preserve">zieht einen Bollerwagen hinter sich her</t>
  </si>
  <si>
    <t xml:space="preserve">pulling a handcart along behind them</t>
  </si>
  <si>
    <t xml:space="preserve">H024</t>
  </si>
  <si>
    <t xml:space="preserve">pustet Seifenblasen</t>
  </si>
  <si>
    <t xml:space="preserve">blowing soap bubbles</t>
  </si>
  <si>
    <t xml:space="preserve">H025</t>
  </si>
  <si>
    <t xml:space="preserve">zeigt auf ein Schaufenster</t>
  </si>
  <si>
    <t xml:space="preserve">pointing at a shop window</t>
  </si>
  <si>
    <t xml:space="preserve">H026</t>
  </si>
  <si>
    <t xml:space="preserve">hält eine Tüte Obst vom Markt</t>
  </si>
  <si>
    <t xml:space="preserve">holding a bag of fruit from the market</t>
  </si>
  <si>
    <t xml:space="preserve">H027</t>
  </si>
  <si>
    <t xml:space="preserve">steht an der Eisdiele in der Schlange</t>
  </si>
  <si>
    <t xml:space="preserve">standing in the queue at the ice cream parlour</t>
  </si>
  <si>
    <t xml:space="preserve">H028</t>
  </si>
  <si>
    <t xml:space="preserve">sitzt auf Schultern und schaut über die Menge</t>
  </si>
  <si>
    <t xml:space="preserve">sitting on someone's shoulders looking over the crowd</t>
  </si>
  <si>
    <t xml:space="preserve">H029</t>
  </si>
  <si>
    <t xml:space="preserve">schiebt einen Roller neben sich</t>
  </si>
  <si>
    <t xml:space="preserve">pushing a scooter along beside them</t>
  </si>
  <si>
    <t xml:space="preserve">H030</t>
  </si>
  <si>
    <t xml:space="preserve">zählt Münzen in der Hand</t>
  </si>
  <si>
    <t xml:space="preserve">counting coins in their hand</t>
  </si>
  <si>
    <t xml:space="preserve">H031</t>
  </si>
  <si>
    <t xml:space="preserve">trägt ein langes Brot unter dem Arm</t>
  </si>
  <si>
    <t xml:space="preserve">carrying a long loaf under one arm</t>
  </si>
  <si>
    <t xml:space="preserve">H032</t>
  </si>
  <si>
    <t xml:space="preserve">bleibt vor einem Straßenmusiker stehen</t>
  </si>
  <si>
    <t xml:space="preserve">stopping in front of a street musician</t>
  </si>
  <si>
    <t xml:space="preserve">H033</t>
  </si>
  <si>
    <t xml:space="preserve">trinkt aus der Feldflasche</t>
  </si>
  <si>
    <t xml:space="preserve">drinking from a water bottle</t>
  </si>
  <si>
    <t xml:space="preserve">H034</t>
  </si>
  <si>
    <t xml:space="preserve">klettert über einen Felsblock</t>
  </si>
  <si>
    <t xml:space="preserve">climbing over a boulder</t>
  </si>
  <si>
    <t xml:space="preserve">H035</t>
  </si>
  <si>
    <t xml:space="preserve">sammelt Steine in die Jackentasche</t>
  </si>
  <si>
    <t xml:space="preserve">collecting stones into a jacket pocket</t>
  </si>
  <si>
    <t xml:space="preserve">H036</t>
  </si>
  <si>
    <t xml:space="preserve">zeigt ins Tal hinunter</t>
  </si>
  <si>
    <t xml:space="preserve">pointing down into the valley</t>
  </si>
  <si>
    <t xml:space="preserve">H037</t>
  </si>
  <si>
    <t xml:space="preserve">stapft im Gänsemarsch voran</t>
  </si>
  <si>
    <t xml:space="preserve">trudging ahead in single file</t>
  </si>
  <si>
    <t xml:space="preserve">H038</t>
  </si>
  <si>
    <t xml:space="preserve">hält einen Wanderstock in der Hand</t>
  </si>
  <si>
    <t xml:space="preserve">holding a hiking pole</t>
  </si>
  <si>
    <t xml:space="preserve">H039</t>
  </si>
  <si>
    <t xml:space="preserve">sitzt auf dem Rucksack und bindet den Schuh</t>
  </si>
  <si>
    <t xml:space="preserve">sitting on a backpack tying a shoe</t>
  </si>
  <si>
    <t xml:space="preserve">H040</t>
  </si>
  <si>
    <t xml:space="preserve">streichelt eine Kuh am Wegrand</t>
  </si>
  <si>
    <t xml:space="preserve">stroking a cow at the side of the path</t>
  </si>
  <si>
    <t xml:space="preserve">H041</t>
  </si>
  <si>
    <t xml:space="preserve">hängt eine Kugel an einen unteren Zweig</t>
  </si>
  <si>
    <t xml:space="preserve">hanging a bauble on a lower branch</t>
  </si>
  <si>
    <t xml:space="preserve">H042</t>
  </si>
  <si>
    <t xml:space="preserve">trägt einen Teller Plätzchen mit beiden Händen</t>
  </si>
  <si>
    <t xml:space="preserve">carrying a plate of biscuits with both hands</t>
  </si>
  <si>
    <t xml:space="preserve">H043</t>
  </si>
  <si>
    <t xml:space="preserve">sitzt vor dem Kamin und hält eine Tasse</t>
  </si>
  <si>
    <t xml:space="preserve">sitting by the fireplace holding a mug</t>
  </si>
  <si>
    <t xml:space="preserve">amerikanisch geprägt (Kamin/fireplace) – Vorschlag: Kachelofen oder Fensterbank</t>
  </si>
  <si>
    <t xml:space="preserve">H044</t>
  </si>
  <si>
    <t xml:space="preserve">wickelt ein Geschenk in viel zu viel Papier</t>
  </si>
  <si>
    <t xml:space="preserve">wrapping a present in far too much paper</t>
  </si>
  <si>
    <t xml:space="preserve">H045</t>
  </si>
  <si>
    <t xml:space="preserve">schaut durchs Treppengeländer nach unten</t>
  </si>
  <si>
    <t xml:space="preserve">looking down through the banister</t>
  </si>
  <si>
    <t xml:space="preserve">H046</t>
  </si>
  <si>
    <t xml:space="preserve">steckt eine Kerze in den Halter</t>
  </si>
  <si>
    <t xml:space="preserve">putting a candle into its holder</t>
  </si>
  <si>
    <t xml:space="preserve">H047</t>
  </si>
  <si>
    <t xml:space="preserve">zieht am Band eines Geschenks</t>
  </si>
  <si>
    <t xml:space="preserve">pulling the ribbon on a present</t>
  </si>
  <si>
    <t xml:space="preserve">H048</t>
  </si>
  <si>
    <t xml:space="preserve">hält den Baum fest, während jemand den Ständer richtet</t>
  </si>
  <si>
    <t xml:space="preserve">steadying the tree while someone adjusts the stand</t>
  </si>
  <si>
    <t xml:space="preserve">H049</t>
  </si>
  <si>
    <t xml:space="preserve">kniet am Boden und betrachtet etwas ganz genau</t>
  </si>
  <si>
    <t xml:space="preserve">kneeling on the ground studying something very closely</t>
  </si>
  <si>
    <t xml:space="preserve">H050</t>
  </si>
  <si>
    <t xml:space="preserve">trägt etwas Zerbrechliches mit beiden Händen</t>
  </si>
  <si>
    <t xml:space="preserve">carrying something fragile with both hands</t>
  </si>
  <si>
    <t xml:space="preserve">H051</t>
  </si>
  <si>
    <t xml:space="preserve">streckt sich nach etwas, das zu hoch hängt</t>
  </si>
  <si>
    <t xml:space="preserve">stretching for something hanging too high</t>
  </si>
  <si>
    <t xml:space="preserve">H052</t>
  </si>
  <si>
    <t xml:space="preserve">läuft mit weit ausgestreckten Armen</t>
  </si>
  <si>
    <t xml:space="preserve">running with arms stretched wide</t>
  </si>
  <si>
    <t xml:space="preserve">H053</t>
  </si>
  <si>
    <t xml:space="preserve">hält etwas hinter dem Rücken versteckt</t>
  </si>
  <si>
    <t xml:space="preserve">holding something hidden behind their back</t>
  </si>
  <si>
    <t xml:space="preserve">H054</t>
  </si>
  <si>
    <t xml:space="preserve">schaut über die Schulter zurück</t>
  </si>
  <si>
    <t xml:space="preserve">looking back over one shoulder</t>
  </si>
  <si>
    <t xml:space="preserve">H055</t>
  </si>
  <si>
    <t xml:space="preserve">hockt und bindet etwas zusammen</t>
  </si>
  <si>
    <t xml:space="preserve">crouching and tying something together</t>
  </si>
  <si>
    <t xml:space="preserve">H056</t>
  </si>
  <si>
    <t xml:space="preserve">balanciert auf einem Bein</t>
  </si>
  <si>
    <t xml:space="preserve">balancing on one leg</t>
  </si>
  <si>
    <t xml:space="preserve">N001</t>
  </si>
  <si>
    <t xml:space="preserve">Ein Opa zeigt einem Kind, wie man eine Kastanie aufknackt</t>
  </si>
  <si>
    <t xml:space="preserve">N002</t>
  </si>
  <si>
    <t xml:space="preserve">Zwei Nachbarinnen reden über den Gartenzaun, beide mit Gießkanne in der Hand</t>
  </si>
  <si>
    <t xml:space="preserve">N003</t>
  </si>
  <si>
    <t xml:space="preserve">Ein Schornsteinfeger winkt vom Dach, unten winkt ein Kind zurück</t>
  </si>
  <si>
    <t xml:space="preserve">N004</t>
  </si>
  <si>
    <t xml:space="preserve">Ein Kind bekommt vom Bäcker eine Brezel über die Theke gereicht</t>
  </si>
  <si>
    <t xml:space="preserve">N005</t>
  </si>
  <si>
    <t xml:space="preserve">Papa pumpt einen Fahrradreifen auf, das Kind hält den Lenker fest</t>
  </si>
  <si>
    <t xml:space="preserve">N006</t>
  </si>
  <si>
    <t xml:space="preserve">Zwei teilen sich einen Regenschirm, einer wird trotzdem komplett nass</t>
  </si>
  <si>
    <t xml:space="preserve">N007</t>
  </si>
  <si>
    <t xml:space="preserve">Ein Kind schläft im Fahrradanhänger, Papa tritt kräftig in die Pedale</t>
  </si>
  <si>
    <t xml:space="preserve">N008</t>
  </si>
  <si>
    <t xml:space="preserve">Oma strickt auf der Bank, der Wollknäuel rollt weg, die Katze hinterher</t>
  </si>
  <si>
    <t xml:space="preserve">N009</t>
  </si>
  <si>
    <t xml:space="preserve">Der Postbote mit gelbem Fahrrad bringt ein Paket, der Hund freut sich mehr als die Familie</t>
  </si>
  <si>
    <t xml:space="preserve">N010</t>
  </si>
  <si>
    <t xml:space="preserve">Drei Kinder spielen Gummitwist</t>
  </si>
  <si>
    <t xml:space="preserve">N011</t>
  </si>
  <si>
    <t xml:space="preserve">Ein Kind zeigt stolz allen seinen Wackelzahn</t>
  </si>
  <si>
    <t xml:space="preserve">N012</t>
  </si>
  <si>
    <t xml:space="preserve">Ein Mann trägt eine Kiste Leergut zum Container, eine Flasche kullert davon</t>
  </si>
  <si>
    <t xml:space="preserve">N013</t>
  </si>
  <si>
    <t xml:space="preserve">Eine Mutter flicht einem Kind auf der Mauer Zöpfe</t>
  </si>
  <si>
    <t xml:space="preserve">N014</t>
  </si>
  <si>
    <t xml:space="preserve">Ein Straßenkünstler malt ein riesiges Kreidebild, Kinder stehen mittendrin</t>
  </si>
  <si>
    <t xml:space="preserve">N015</t>
  </si>
  <si>
    <t xml:space="preserve">Ein Kind hält einem Pferd eine Möhre hin, der Arm so lang wie möglich</t>
  </si>
  <si>
    <t xml:space="preserve">N016</t>
  </si>
  <si>
    <t xml:space="preserve">Zwei alte Männer spielen Schach, drei Zuschauer schauen mit</t>
  </si>
  <si>
    <t xml:space="preserve">N017</t>
  </si>
  <si>
    <t xml:space="preserve">Ein Kind pustet eine Pusteblume, die Samen fliegen über drei Leute hinweg</t>
  </si>
  <si>
    <t xml:space="preserve">N018</t>
  </si>
  <si>
    <t xml:space="preserve">Ein Kind trägt einen gefundenen Igel im Eimer zur Oma</t>
  </si>
  <si>
    <t xml:space="preserve">N019</t>
  </si>
  <si>
    <t xml:space="preserve">Ein Bauarbeiter lässt ein Kind seinen Helm aufsetzen</t>
  </si>
  <si>
    <t xml:space="preserve">N020</t>
  </si>
  <si>
    <t xml:space="preserve">Jemand übt Einrad, zwei halten ihn an den Händen fest</t>
  </si>
  <si>
    <t xml:space="preserve">N021</t>
  </si>
  <si>
    <t xml:space="preserve">Ein Hund sitzt mit Sonnenbrille im Fahrradkorb</t>
  </si>
  <si>
    <t xml:space="preserve">N022</t>
  </si>
  <si>
    <t xml:space="preserve">Eine Straßenbahn hält, alle steigen gleichzeitig ein und aus</t>
  </si>
  <si>
    <t xml:space="preserve">N023</t>
  </si>
  <si>
    <t xml:space="preserve">Am Käsestand gibt es Probierhäppchen, eine Traube Kinder davor</t>
  </si>
  <si>
    <t xml:space="preserve">N024</t>
  </si>
  <si>
    <t xml:space="preserve">Ein Kind wirft eine Münze in den Hut des Drehorgelspielers</t>
  </si>
  <si>
    <t xml:space="preserve">N025</t>
  </si>
  <si>
    <t xml:space="preserve">Eine Litfaßsäule wird plakatiert, das Plakat klebt am Plakatierer</t>
  </si>
  <si>
    <t xml:space="preserve">N026</t>
  </si>
  <si>
    <t xml:space="preserve">Ein Fensterputzer auf der Leiter winkt einer Katze hinter der Scheibe</t>
  </si>
  <si>
    <t xml:space="preserve">N027</t>
  </si>
  <si>
    <t xml:space="preserve">Eine Blaskapelle marschiert quer über den Platz</t>
  </si>
  <si>
    <t xml:space="preserve">N028</t>
  </si>
  <si>
    <t xml:space="preserve">Kinder kühlen am Brunnen die Füße, Schuhe stehen in einer Reihe</t>
  </si>
  <si>
    <t xml:space="preserve">N029</t>
  </si>
  <si>
    <t xml:space="preserve">Beim Melken wartet die Katze mit offenem Maul auf den Milchstrahl</t>
  </si>
  <si>
    <t xml:space="preserve">N030</t>
  </si>
  <si>
    <t xml:space="preserve">Kinder fahren beim Heueinholen auf dem Anhänger mit</t>
  </si>
  <si>
    <t xml:space="preserve">N031</t>
  </si>
  <si>
    <t xml:space="preserve">Der Hofhund schläft im Schatten des Traktors, zwei Hühner auf dem Rücken</t>
  </si>
  <si>
    <t xml:space="preserve">N032</t>
  </si>
  <si>
    <t xml:space="preserve">Ein Kind lernt Melken und trifft den Eimer nicht</t>
  </si>
  <si>
    <t xml:space="preserve">N033</t>
  </si>
  <si>
    <t xml:space="preserve">Der Imker zeigt Kindern eine Wabe, alle mit Hut und Schleier</t>
  </si>
  <si>
    <t xml:space="preserve">N034</t>
  </si>
  <si>
    <t xml:space="preserve">Badesee (neu)</t>
  </si>
  <si>
    <t xml:space="preserve">Kinder springen vom Steg, eines hält sich die Nase zu</t>
  </si>
  <si>
    <t xml:space="preserve">N035</t>
  </si>
  <si>
    <t xml:space="preserve">Ein Stand-up-Paddler wackelt, der Hund an Bord bleibt ganz ruhig</t>
  </si>
  <si>
    <t xml:space="preserve">N036</t>
  </si>
  <si>
    <t xml:space="preserve">Oma schwimmt mit Badekappe zwischen Seerosen</t>
  </si>
  <si>
    <t xml:space="preserve">N037</t>
  </si>
  <si>
    <t xml:space="preserve">Ein Tretboot in Schwanenform wird von echten Schwänen verfolgt</t>
  </si>
  <si>
    <t xml:space="preserve">N038</t>
  </si>
  <si>
    <t xml:space="preserve">Am Ufer wird gegrillt, ein Würstchen fällt durch den Rost</t>
  </si>
  <si>
    <t xml:space="preserve">N039</t>
  </si>
  <si>
    <t xml:space="preserve">Winter (neu)</t>
  </si>
  <si>
    <t xml:space="preserve">Am Rodelhang: zehn Schlitten nacheinander, einer bremst mit dem Hintern</t>
  </si>
  <si>
    <t xml:space="preserve">N040</t>
  </si>
  <si>
    <t xml:space="preserve">Opa läuft rückwärts Schlittschuh, alle staunen</t>
  </si>
  <si>
    <t xml:space="preserve">N041</t>
  </si>
  <si>
    <t xml:space="preserve">Eine Schneefrau trägt Omas Brille</t>
  </si>
  <si>
    <t xml:space="preserve">N042</t>
  </si>
  <si>
    <t xml:space="preserve">Ein Hund frisst Schnee und niest</t>
  </si>
  <si>
    <t xml:space="preserve">N043</t>
  </si>
  <si>
    <t xml:space="preserve">Volksfest (neu)</t>
  </si>
  <si>
    <t xml:space="preserve">Im Kettenkarussell fliegt ein Schuh davon</t>
  </si>
  <si>
    <t xml:space="preserve">N044</t>
  </si>
  <si>
    <t xml:space="preserve">In der Riesenrad-Gondel schaut ein Kind durch die Finger</t>
  </si>
  <si>
    <t xml:space="preserve">N045</t>
  </si>
  <si>
    <t xml:space="preserve">Beim Dosenwerfen trifft Papa nichts, das Kind trifft alles</t>
  </si>
  <si>
    <t xml:space="preserve">N046</t>
  </si>
  <si>
    <t xml:space="preserve">Eine Zuckerwatte ist größer als das Kind, das sie trägt</t>
  </si>
  <si>
    <t xml:space="preserve">N047</t>
  </si>
  <si>
    <t xml:space="preserve">Ein Hund trägt ein Lebkuchenherz um den Hals</t>
  </si>
  <si>
    <t xml:space="preserve">N048</t>
  </si>
  <si>
    <t xml:space="preserve">Alle suchen die Fernbedienung, der Hund liegt drauf</t>
  </si>
  <si>
    <t xml:space="preserve">N049</t>
  </si>
  <si>
    <t xml:space="preserve">Eine Murmelbahn führt durch drei Zimmer</t>
  </si>
  <si>
    <t xml:space="preserve">N050</t>
  </si>
  <si>
    <t xml:space="preserve">Oma zeigt alte Fotos, alle lachen über Opas Frisur von früher</t>
  </si>
  <si>
    <t xml:space="preserve">N051</t>
  </si>
  <si>
    <t xml:space="preserve">Wald/Herbst (neu)</t>
  </si>
  <si>
    <t xml:space="preserve">Pilzsammler mit Korb, ein Reh schaut aus dem Gebüsch zu</t>
  </si>
  <si>
    <t xml:space="preserve">N052</t>
  </si>
  <si>
    <t xml:space="preserve">Auf dem Baumstumpf werden Kastanienmännchen gebaut</t>
  </si>
  <si>
    <t xml:space="preserve">N053</t>
  </si>
  <si>
    <t xml:space="preserve">Aus dem Blätterhaufen schauen nur zwei Beine heraus</t>
  </si>
  <si>
    <t xml:space="preserve">N054</t>
  </si>
  <si>
    <t xml:space="preserve">Zwei Kinder klettern auf den Hochsitz, der Förster winkt sie herunter</t>
  </si>
  <si>
    <t xml:space="preserve">Running Gags (Vorschlag, je Buch 1–2 davon auf jeder Seite als Suchspiel):</t>
  </si>
  <si>
    <t xml:space="preserve">R01</t>
  </si>
  <si>
    <t xml:space="preserve">Die Oma mit dem roten Regenschirm – bei jedem Wetter</t>
  </si>
  <si>
    <t xml:space="preserve">R02</t>
  </si>
  <si>
    <t xml:space="preserve">Der Mann, dem auf jeder Seite der Hut wegfliegt – jedes Mal woanders</t>
  </si>
  <si>
    <t xml:space="preserve">R03</t>
  </si>
  <si>
    <t xml:space="preserve">Dieselbe Katze auf einem anderen Dach</t>
  </si>
  <si>
    <t xml:space="preserve">R04</t>
  </si>
  <si>
    <t xml:space="preserve">WizzelWim selbst, klein und gut versteckt</t>
  </si>
  <si>
    <t xml:space="preserve">Typ-Verteilung heute (Gags, 244 Einträge)</t>
  </si>
  <si>
    <t xml:space="preserve">Anzahl</t>
  </si>
  <si>
    <t xml:space="preserve">Anteil</t>
  </si>
  <si>
    <t xml:space="preserve">Typ wurde automatisch per Stichwort zugeordnet (grob, zur Orientierung).</t>
  </si>
  <si>
    <t xml:space="preserve">Deine Entscheidungen (live gezählt)</t>
  </si>
  <si>
    <t xml:space="preserve">Blatt</t>
  </si>
  <si>
    <t xml:space="preserve">Behalten</t>
  </si>
  <si>
    <t xml:space="preserve">Streichen</t>
  </si>
  <si>
    <t xml:space="preserve">Ändern</t>
  </si>
  <si>
    <t xml:space="preserve">offen</t>
  </si>
  <si>
    <t xml:space="preserve">Gags</t>
  </si>
  <si>
    <t xml:space="preserve">Gruppen</t>
  </si>
  <si>
    <t xml:space="preserve">Helden-Aktionen</t>
  </si>
  <si>
    <t xml:space="preserve">Neue Vorschläge</t>
  </si>
  <si>
    <t xml:space="preserve">Befunde der Durchsicht</t>
  </si>
  <si>
    <t xml:space="preserve">1. Die Bibliothek ist schon weitgehend europäisch (Brotzeit, Almhütte, Sternsinger, Bollerwagen, Nikolausstiefel). Nur 3–5 Einträge sind klar amerikanisch geprägt. Der „amerikanische“ Eindruck der Bilder kommt also vor allem aus dem Hintergrund (Häuser, Straßen, Fahrzeuge), den das Modell von sich aus zeichnet – das gehört in den Szenen-Prompt, nicht in den Gag-Katalog.</t>
  </si>
  <si>
    <t xml:space="preserve">2. Rund die Hälfte aller Gags ist ein Missgeschick oder ein Tier-Gag (etwas fällt, kippt, entwischt, ein Tier klaut etwas); Zärtliches und Arbeit/Handwerk zusammen nur etwa 12 %. Das erzeugt den Eindruck von Wiederholung, auch wenn die Situationen verschieden sind. Für mehr Varianz braucht der Katalog mehr Zärtliches, Arbeit/Handwerk und Absurdes.</t>
  </si>
  <si>
    <t xml:space="preserve">3. Stärkste Wiederholer: Eis (9×), Warteschlange (10 von 52 Gruppen), Tier klaut Essen (5×), Sandburg (4×), Drachen (4×), Flüssigkeit kippt (4×).</t>
  </si>
  <si>
    <t xml:space="preserve">4. Vier Themen haben nur 10 Einträge (Zuhause, Zoo, Schwimmbad, Kita/Schule). Für die Collage braucht jedes Thema mindestens 40 Situationen plus etwa 100 „Überall“-Situationen (heute 24).</t>
  </si>
  <si>
    <t xml:space="preserve">5. Es fehlen typisch deutsche Orte: Badesee, Wochenmarkt (eigenständig), Volksfest/Kirmes, Wald/Herbst, Winter ohne Weihnachten, Garten/Schrebergarten, Bahnhof, Kindergeburtstag.</t>
  </si>
  <si>
    <t xml:space="preserve">6. Viele Helden-Aktionen sind Kopien von Gags (Kreide, Seifenblasen, Schultern, Lamm, Schubkarre …). Im Collage-Modell übernehmen die erzählten Situationen der Kundin diese Rolle; die Helden-Aktionen werden nur noch als Rückfall gebraucht.</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</si>
</sst>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1"/>
      <color rgb="FFFFFFFF"/>
      <name val="Arial"/>
      <family val="0"/>
      <charset val="1"/>
    </font>
    <font>
      <b val="true"/>
      <sz val="12"/>
      <name val="Arial"/>
      <family val="0"/>
      <charset val="1"/>
    </font>
    <font>
      <i val="true"/>
      <sz val="9"/>
      <name val="Arial"/>
      <family val="0"/>
      <charset val="1"/>
    </font>
  </fonts>
  <fills count="5">
    <fill>
      <patternFill patternType="none"/>
    </fill>
    <fill>
      <patternFill patternType="gray125"/>
    </fill>
    <fill>
      <patternFill patternType="solid">
        <fgColor rgb="FF2F3E46"/>
        <bgColor rgb="FF333300"/>
      </patternFill>
    </fill>
    <fill>
      <patternFill patternType="solid">
        <fgColor rgb="FFFDE2E2"/>
        <bgColor rgb="FFFFF7CC"/>
      </patternFill>
    </fill>
    <fill>
      <patternFill patternType="solid">
        <fgColor rgb="FFFFF7CC"/>
        <bgColor rgb="FFFDE2E2"/>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3E46"/>
          <bgColor rgb="FF000000"/>
        </patternFill>
      </fill>
    </dxf>
    <dxf>
      <fill>
        <patternFill patternType="solid">
          <bgColor rgb="FF000000"/>
        </patternFill>
      </fill>
    </dxf>
    <dxf>
      <fill>
        <patternFill patternType="solid">
          <fgColor rgb="FFFFFFFF"/>
          <bgColor rgb="FF000000"/>
        </patternFill>
      </fill>
    </dxf>
    <dxf>
      <fill>
        <patternFill patternType="solid">
          <fgColor rgb="FFFDE2E2"/>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E2E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3E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8"/>
    <col collapsed="false" customWidth="true" hidden="false" outlineLevel="0" max="5" min="4" style="0" width="58"/>
    <col collapsed="false" customWidth="true" hidden="false" outlineLevel="0" max="6" min="6" style="0" width="16"/>
    <col collapsed="false" customWidth="true" hidden="false" outlineLevel="0" max="7" min="7" style="0" width="52"/>
    <col collapsed="false" customWidth="true" hidden="false" outlineLevel="0" max="8" min="8" style="0" width="14"/>
    <col collapsed="false" customWidth="true" hidden="false" outlineLevel="0" max="9" min="9" style="0" width="36"/>
  </cols>
  <sheetData>
    <row r="1" customFormat="false" ht="26.85" hidden="false" customHeight="false" outlineLevel="0" collapsed="false">
      <c r="A1" s="4" t="s">
        <v>11</v>
      </c>
      <c r="B1" s="4" t="s">
        <v>12</v>
      </c>
      <c r="C1" s="4" t="s">
        <v>13</v>
      </c>
      <c r="D1" s="4" t="s">
        <v>14</v>
      </c>
      <c r="E1" s="4" t="s">
        <v>15</v>
      </c>
      <c r="F1" s="4" t="s">
        <v>16</v>
      </c>
      <c r="G1" s="4" t="s">
        <v>17</v>
      </c>
      <c r="H1" s="4" t="s">
        <v>18</v>
      </c>
      <c r="I1" s="4" t="s">
        <v>19</v>
      </c>
    </row>
    <row r="2" customFormat="false" ht="15" hidden="false" customHeight="false" outlineLevel="0" collapsed="false">
      <c r="A2" s="5" t="s">
        <v>20</v>
      </c>
      <c r="B2" s="5" t="s">
        <v>21</v>
      </c>
      <c r="C2" s="5"/>
      <c r="D2" s="5" t="s">
        <v>22</v>
      </c>
      <c r="E2" s="5" t="s">
        <v>23</v>
      </c>
      <c r="F2" s="5" t="s">
        <v>24</v>
      </c>
      <c r="G2" s="6" t="s">
        <v>25</v>
      </c>
      <c r="H2" s="7"/>
      <c r="I2" s="7"/>
    </row>
    <row r="3" customFormat="false" ht="15" hidden="false" customHeight="false" outlineLevel="0" collapsed="false">
      <c r="A3" s="5" t="s">
        <v>26</v>
      </c>
      <c r="B3" s="5" t="s">
        <v>21</v>
      </c>
      <c r="C3" s="5"/>
      <c r="D3" s="5" t="s">
        <v>27</v>
      </c>
      <c r="E3" s="5" t="s">
        <v>28</v>
      </c>
      <c r="F3" s="5" t="s">
        <v>29</v>
      </c>
      <c r="G3" s="5"/>
      <c r="H3" s="7"/>
      <c r="I3" s="7"/>
    </row>
    <row r="4" customFormat="false" ht="15" hidden="false" customHeight="false" outlineLevel="0" collapsed="false">
      <c r="A4" s="5" t="s">
        <v>30</v>
      </c>
      <c r="B4" s="5" t="s">
        <v>21</v>
      </c>
      <c r="C4" s="5"/>
      <c r="D4" s="5" t="s">
        <v>31</v>
      </c>
      <c r="E4" s="5" t="s">
        <v>32</v>
      </c>
      <c r="F4" s="5" t="s">
        <v>24</v>
      </c>
      <c r="G4" s="6" t="s">
        <v>25</v>
      </c>
      <c r="H4" s="7"/>
      <c r="I4" s="7"/>
    </row>
    <row r="5" customFormat="false" ht="15" hidden="false" customHeight="false" outlineLevel="0" collapsed="false">
      <c r="A5" s="5" t="s">
        <v>33</v>
      </c>
      <c r="B5" s="5" t="s">
        <v>21</v>
      </c>
      <c r="C5" s="5"/>
      <c r="D5" s="5" t="s">
        <v>34</v>
      </c>
      <c r="E5" s="5" t="s">
        <v>35</v>
      </c>
      <c r="F5" s="5" t="s">
        <v>36</v>
      </c>
      <c r="G5" s="5"/>
      <c r="H5" s="7"/>
      <c r="I5" s="7"/>
    </row>
    <row r="6" customFormat="false" ht="15" hidden="false" customHeight="false" outlineLevel="0" collapsed="false">
      <c r="A6" s="5" t="s">
        <v>37</v>
      </c>
      <c r="B6" s="5" t="s">
        <v>21</v>
      </c>
      <c r="C6" s="5"/>
      <c r="D6" s="5" t="s">
        <v>38</v>
      </c>
      <c r="E6" s="5" t="s">
        <v>39</v>
      </c>
      <c r="F6" s="5" t="s">
        <v>40</v>
      </c>
      <c r="G6" s="5"/>
      <c r="H6" s="7"/>
      <c r="I6" s="7"/>
    </row>
    <row r="7" customFormat="false" ht="15" hidden="false" customHeight="false" outlineLevel="0" collapsed="false">
      <c r="A7" s="5" t="s">
        <v>41</v>
      </c>
      <c r="B7" s="5" t="s">
        <v>21</v>
      </c>
      <c r="C7" s="5"/>
      <c r="D7" s="5" t="s">
        <v>42</v>
      </c>
      <c r="E7" s="5" t="s">
        <v>43</v>
      </c>
      <c r="F7" s="5" t="s">
        <v>40</v>
      </c>
      <c r="G7" s="6" t="s">
        <v>25</v>
      </c>
      <c r="H7" s="7"/>
      <c r="I7" s="7"/>
    </row>
    <row r="8" customFormat="false" ht="15" hidden="false" customHeight="false" outlineLevel="0" collapsed="false">
      <c r="A8" s="5" t="s">
        <v>44</v>
      </c>
      <c r="B8" s="5" t="s">
        <v>21</v>
      </c>
      <c r="C8" s="5"/>
      <c r="D8" s="5" t="s">
        <v>45</v>
      </c>
      <c r="E8" s="5" t="s">
        <v>46</v>
      </c>
      <c r="F8" s="5" t="s">
        <v>47</v>
      </c>
      <c r="G8" s="5"/>
      <c r="H8" s="7"/>
      <c r="I8" s="7"/>
    </row>
    <row r="9" customFormat="false" ht="15" hidden="false" customHeight="false" outlineLevel="0" collapsed="false">
      <c r="A9" s="5" t="s">
        <v>48</v>
      </c>
      <c r="B9" s="5" t="s">
        <v>21</v>
      </c>
      <c r="C9" s="5"/>
      <c r="D9" s="5" t="s">
        <v>49</v>
      </c>
      <c r="E9" s="5" t="s">
        <v>50</v>
      </c>
      <c r="F9" s="5" t="s">
        <v>29</v>
      </c>
      <c r="G9" s="5"/>
      <c r="H9" s="7"/>
      <c r="I9" s="7"/>
    </row>
    <row r="10" customFormat="false" ht="15" hidden="false" customHeight="false" outlineLevel="0" collapsed="false">
      <c r="A10" s="5" t="s">
        <v>51</v>
      </c>
      <c r="B10" s="5" t="s">
        <v>21</v>
      </c>
      <c r="C10" s="5"/>
      <c r="D10" s="5" t="s">
        <v>52</v>
      </c>
      <c r="E10" s="5" t="s">
        <v>53</v>
      </c>
      <c r="F10" s="5" t="s">
        <v>24</v>
      </c>
      <c r="G10" s="6" t="s">
        <v>54</v>
      </c>
      <c r="H10" s="7"/>
      <c r="I10" s="7"/>
    </row>
    <row r="11" customFormat="false" ht="15" hidden="false" customHeight="false" outlineLevel="0" collapsed="false">
      <c r="A11" s="5" t="s">
        <v>55</v>
      </c>
      <c r="B11" s="5" t="s">
        <v>21</v>
      </c>
      <c r="C11" s="5"/>
      <c r="D11" s="5" t="s">
        <v>56</v>
      </c>
      <c r="E11" s="5" t="s">
        <v>57</v>
      </c>
      <c r="F11" s="5" t="s">
        <v>36</v>
      </c>
      <c r="G11" s="5"/>
      <c r="H11" s="7"/>
      <c r="I11" s="7"/>
    </row>
    <row r="12" customFormat="false" ht="23.85" hidden="false" customHeight="false" outlineLevel="0" collapsed="false">
      <c r="A12" s="5" t="s">
        <v>58</v>
      </c>
      <c r="B12" s="5" t="s">
        <v>59</v>
      </c>
      <c r="C12" s="5"/>
      <c r="D12" s="5" t="s">
        <v>60</v>
      </c>
      <c r="E12" s="5" t="s">
        <v>61</v>
      </c>
      <c r="F12" s="5" t="s">
        <v>24</v>
      </c>
      <c r="G12" s="6" t="s">
        <v>62</v>
      </c>
      <c r="H12" s="7"/>
      <c r="I12" s="7"/>
    </row>
    <row r="13" customFormat="false" ht="23.85" hidden="false" customHeight="false" outlineLevel="0" collapsed="false">
      <c r="A13" s="5" t="s">
        <v>63</v>
      </c>
      <c r="B13" s="5" t="s">
        <v>59</v>
      </c>
      <c r="C13" s="5"/>
      <c r="D13" s="5" t="s">
        <v>64</v>
      </c>
      <c r="E13" s="5" t="s">
        <v>65</v>
      </c>
      <c r="F13" s="5" t="s">
        <v>29</v>
      </c>
      <c r="G13" s="6" t="s">
        <v>66</v>
      </c>
      <c r="H13" s="7"/>
      <c r="I13" s="7"/>
    </row>
    <row r="14" customFormat="false" ht="15" hidden="false" customHeight="false" outlineLevel="0" collapsed="false">
      <c r="A14" s="5" t="s">
        <v>67</v>
      </c>
      <c r="B14" s="5" t="s">
        <v>59</v>
      </c>
      <c r="C14" s="5"/>
      <c r="D14" s="5" t="s">
        <v>68</v>
      </c>
      <c r="E14" s="5" t="s">
        <v>69</v>
      </c>
      <c r="F14" s="5" t="s">
        <v>24</v>
      </c>
      <c r="G14" s="6" t="s">
        <v>70</v>
      </c>
      <c r="H14" s="7"/>
      <c r="I14" s="7"/>
    </row>
    <row r="15" customFormat="false" ht="15" hidden="false" customHeight="false" outlineLevel="0" collapsed="false">
      <c r="A15" s="5" t="s">
        <v>71</v>
      </c>
      <c r="B15" s="5" t="s">
        <v>59</v>
      </c>
      <c r="C15" s="5"/>
      <c r="D15" s="5" t="s">
        <v>72</v>
      </c>
      <c r="E15" s="5" t="s">
        <v>73</v>
      </c>
      <c r="F15" s="5" t="s">
        <v>24</v>
      </c>
      <c r="G15" s="5"/>
      <c r="H15" s="7"/>
      <c r="I15" s="7"/>
    </row>
    <row r="16" customFormat="false" ht="15" hidden="false" customHeight="false" outlineLevel="0" collapsed="false">
      <c r="A16" s="5" t="s">
        <v>74</v>
      </c>
      <c r="B16" s="5" t="s">
        <v>59</v>
      </c>
      <c r="C16" s="5"/>
      <c r="D16" s="5" t="s">
        <v>75</v>
      </c>
      <c r="E16" s="5" t="s">
        <v>76</v>
      </c>
      <c r="F16" s="5" t="s">
        <v>29</v>
      </c>
      <c r="G16" s="5"/>
      <c r="H16" s="7"/>
      <c r="I16" s="7"/>
    </row>
    <row r="17" customFormat="false" ht="15" hidden="false" customHeight="false" outlineLevel="0" collapsed="false">
      <c r="A17" s="5" t="s">
        <v>77</v>
      </c>
      <c r="B17" s="5" t="s">
        <v>59</v>
      </c>
      <c r="C17" s="5"/>
      <c r="D17" s="5" t="s">
        <v>78</v>
      </c>
      <c r="E17" s="5" t="s">
        <v>79</v>
      </c>
      <c r="F17" s="5" t="s">
        <v>40</v>
      </c>
      <c r="G17" s="5"/>
      <c r="H17" s="7"/>
      <c r="I17" s="7"/>
    </row>
    <row r="18" customFormat="false" ht="15" hidden="false" customHeight="false" outlineLevel="0" collapsed="false">
      <c r="A18" s="5" t="s">
        <v>80</v>
      </c>
      <c r="B18" s="5" t="s">
        <v>59</v>
      </c>
      <c r="C18" s="5"/>
      <c r="D18" s="5" t="s">
        <v>81</v>
      </c>
      <c r="E18" s="5" t="s">
        <v>82</v>
      </c>
      <c r="F18" s="5" t="s">
        <v>36</v>
      </c>
      <c r="G18" s="5"/>
      <c r="H18" s="7"/>
      <c r="I18" s="7"/>
    </row>
    <row r="19" customFormat="false" ht="15" hidden="false" customHeight="false" outlineLevel="0" collapsed="false">
      <c r="A19" s="5" t="s">
        <v>83</v>
      </c>
      <c r="B19" s="5" t="s">
        <v>59</v>
      </c>
      <c r="C19" s="5"/>
      <c r="D19" s="5" t="s">
        <v>84</v>
      </c>
      <c r="E19" s="5" t="s">
        <v>85</v>
      </c>
      <c r="F19" s="5" t="s">
        <v>29</v>
      </c>
      <c r="G19" s="5"/>
      <c r="H19" s="7"/>
      <c r="I19" s="7"/>
    </row>
    <row r="20" customFormat="false" ht="23.85" hidden="false" customHeight="false" outlineLevel="0" collapsed="false">
      <c r="A20" s="5" t="s">
        <v>86</v>
      </c>
      <c r="B20" s="5" t="s">
        <v>59</v>
      </c>
      <c r="C20" s="5"/>
      <c r="D20" s="5" t="s">
        <v>87</v>
      </c>
      <c r="E20" s="5" t="s">
        <v>88</v>
      </c>
      <c r="F20" s="5" t="s">
        <v>24</v>
      </c>
      <c r="G20" s="6" t="s">
        <v>89</v>
      </c>
      <c r="H20" s="7"/>
      <c r="I20" s="7"/>
    </row>
    <row r="21" customFormat="false" ht="15" hidden="false" customHeight="false" outlineLevel="0" collapsed="false">
      <c r="A21" s="5" t="s">
        <v>90</v>
      </c>
      <c r="B21" s="5" t="s">
        <v>59</v>
      </c>
      <c r="C21" s="5"/>
      <c r="D21" s="5" t="s">
        <v>91</v>
      </c>
      <c r="E21" s="5" t="s">
        <v>92</v>
      </c>
      <c r="F21" s="5" t="s">
        <v>24</v>
      </c>
      <c r="G21" s="5"/>
      <c r="H21" s="7"/>
      <c r="I21" s="7"/>
    </row>
    <row r="22" customFormat="false" ht="15" hidden="false" customHeight="false" outlineLevel="0" collapsed="false">
      <c r="A22" s="5" t="s">
        <v>93</v>
      </c>
      <c r="B22" s="5" t="s">
        <v>59</v>
      </c>
      <c r="C22" s="5"/>
      <c r="D22" s="5" t="s">
        <v>94</v>
      </c>
      <c r="E22" s="5" t="s">
        <v>95</v>
      </c>
      <c r="F22" s="5" t="s">
        <v>24</v>
      </c>
      <c r="G22" s="5"/>
      <c r="H22" s="7"/>
      <c r="I22" s="7"/>
    </row>
    <row r="23" customFormat="false" ht="15" hidden="false" customHeight="false" outlineLevel="0" collapsed="false">
      <c r="A23" s="5" t="s">
        <v>96</v>
      </c>
      <c r="B23" s="5" t="s">
        <v>59</v>
      </c>
      <c r="C23" s="5"/>
      <c r="D23" s="5" t="s">
        <v>97</v>
      </c>
      <c r="E23" s="5" t="s">
        <v>98</v>
      </c>
      <c r="F23" s="5" t="s">
        <v>40</v>
      </c>
      <c r="G23" s="6" t="s">
        <v>99</v>
      </c>
      <c r="H23" s="7"/>
      <c r="I23" s="7"/>
    </row>
    <row r="24" customFormat="false" ht="15" hidden="false" customHeight="false" outlineLevel="0" collapsed="false">
      <c r="A24" s="5" t="s">
        <v>100</v>
      </c>
      <c r="B24" s="5" t="s">
        <v>59</v>
      </c>
      <c r="C24" s="5"/>
      <c r="D24" s="5" t="s">
        <v>101</v>
      </c>
      <c r="E24" s="5" t="s">
        <v>102</v>
      </c>
      <c r="F24" s="5" t="s">
        <v>40</v>
      </c>
      <c r="G24" s="5"/>
      <c r="H24" s="7"/>
      <c r="I24" s="7"/>
    </row>
    <row r="25" customFormat="false" ht="15" hidden="false" customHeight="false" outlineLevel="0" collapsed="false">
      <c r="A25" s="5" t="s">
        <v>103</v>
      </c>
      <c r="B25" s="5" t="s">
        <v>59</v>
      </c>
      <c r="C25" s="5"/>
      <c r="D25" s="5" t="s">
        <v>104</v>
      </c>
      <c r="E25" s="5" t="s">
        <v>105</v>
      </c>
      <c r="F25" s="5" t="s">
        <v>29</v>
      </c>
      <c r="G25" s="5"/>
      <c r="H25" s="7"/>
      <c r="I25" s="7"/>
    </row>
    <row r="26" customFormat="false" ht="15" hidden="false" customHeight="false" outlineLevel="0" collapsed="false">
      <c r="A26" s="5" t="s">
        <v>106</v>
      </c>
      <c r="B26" s="5" t="s">
        <v>59</v>
      </c>
      <c r="C26" s="5"/>
      <c r="D26" s="5" t="s">
        <v>107</v>
      </c>
      <c r="E26" s="5" t="s">
        <v>108</v>
      </c>
      <c r="F26" s="5" t="s">
        <v>47</v>
      </c>
      <c r="G26" s="5"/>
      <c r="H26" s="7"/>
      <c r="I26" s="7"/>
    </row>
    <row r="27" customFormat="false" ht="15" hidden="false" customHeight="false" outlineLevel="0" collapsed="false">
      <c r="A27" s="5" t="s">
        <v>109</v>
      </c>
      <c r="B27" s="5" t="s">
        <v>59</v>
      </c>
      <c r="C27" s="5"/>
      <c r="D27" s="5" t="s">
        <v>110</v>
      </c>
      <c r="E27" s="5" t="s">
        <v>111</v>
      </c>
      <c r="F27" s="5" t="s">
        <v>24</v>
      </c>
      <c r="G27" s="5"/>
      <c r="H27" s="7"/>
      <c r="I27" s="7"/>
    </row>
    <row r="28" customFormat="false" ht="15" hidden="false" customHeight="false" outlineLevel="0" collapsed="false">
      <c r="A28" s="5" t="s">
        <v>112</v>
      </c>
      <c r="B28" s="5" t="s">
        <v>59</v>
      </c>
      <c r="C28" s="5"/>
      <c r="D28" s="5" t="s">
        <v>113</v>
      </c>
      <c r="E28" s="5" t="s">
        <v>114</v>
      </c>
      <c r="F28" s="5" t="s">
        <v>40</v>
      </c>
      <c r="G28" s="6" t="s">
        <v>115</v>
      </c>
      <c r="H28" s="7"/>
      <c r="I28" s="7"/>
    </row>
    <row r="29" customFormat="false" ht="15" hidden="false" customHeight="false" outlineLevel="0" collapsed="false">
      <c r="A29" s="5" t="s">
        <v>116</v>
      </c>
      <c r="B29" s="5" t="s">
        <v>59</v>
      </c>
      <c r="C29" s="5"/>
      <c r="D29" s="5" t="s">
        <v>117</v>
      </c>
      <c r="E29" s="5" t="s">
        <v>118</v>
      </c>
      <c r="F29" s="5" t="s">
        <v>36</v>
      </c>
      <c r="G29" s="6" t="s">
        <v>62</v>
      </c>
      <c r="H29" s="7"/>
      <c r="I29" s="7"/>
    </row>
    <row r="30" customFormat="false" ht="15" hidden="false" customHeight="false" outlineLevel="0" collapsed="false">
      <c r="A30" s="5" t="s">
        <v>119</v>
      </c>
      <c r="B30" s="5" t="s">
        <v>59</v>
      </c>
      <c r="C30" s="5"/>
      <c r="D30" s="5" t="s">
        <v>120</v>
      </c>
      <c r="E30" s="5" t="s">
        <v>121</v>
      </c>
      <c r="F30" s="5" t="s">
        <v>40</v>
      </c>
      <c r="G30" s="6" t="s">
        <v>122</v>
      </c>
      <c r="H30" s="7"/>
      <c r="I30" s="7"/>
    </row>
    <row r="31" customFormat="false" ht="15" hidden="false" customHeight="false" outlineLevel="0" collapsed="false">
      <c r="A31" s="5" t="s">
        <v>123</v>
      </c>
      <c r="B31" s="5" t="s">
        <v>59</v>
      </c>
      <c r="C31" s="5"/>
      <c r="D31" s="5" t="s">
        <v>124</v>
      </c>
      <c r="E31" s="5" t="s">
        <v>125</v>
      </c>
      <c r="F31" s="5" t="s">
        <v>40</v>
      </c>
      <c r="G31" s="5"/>
      <c r="H31" s="7"/>
      <c r="I31" s="7"/>
    </row>
    <row r="32" customFormat="false" ht="15" hidden="false" customHeight="false" outlineLevel="0" collapsed="false">
      <c r="A32" s="5" t="s">
        <v>126</v>
      </c>
      <c r="B32" s="5" t="s">
        <v>59</v>
      </c>
      <c r="C32" s="5"/>
      <c r="D32" s="5" t="s">
        <v>127</v>
      </c>
      <c r="E32" s="5" t="s">
        <v>128</v>
      </c>
      <c r="F32" s="5" t="s">
        <v>29</v>
      </c>
      <c r="G32" s="5"/>
      <c r="H32" s="7"/>
      <c r="I32" s="7"/>
    </row>
    <row r="33" customFormat="false" ht="15" hidden="false" customHeight="false" outlineLevel="0" collapsed="false">
      <c r="A33" s="5" t="s">
        <v>129</v>
      </c>
      <c r="B33" s="5" t="s">
        <v>59</v>
      </c>
      <c r="C33" s="5"/>
      <c r="D33" s="5" t="s">
        <v>130</v>
      </c>
      <c r="E33" s="5" t="s">
        <v>131</v>
      </c>
      <c r="F33" s="5" t="s">
        <v>36</v>
      </c>
      <c r="G33" s="5"/>
      <c r="H33" s="7"/>
      <c r="I33" s="7"/>
    </row>
    <row r="34" customFormat="false" ht="15" hidden="false" customHeight="false" outlineLevel="0" collapsed="false">
      <c r="A34" s="5" t="s">
        <v>132</v>
      </c>
      <c r="B34" s="5" t="s">
        <v>59</v>
      </c>
      <c r="C34" s="5"/>
      <c r="D34" s="5" t="s">
        <v>133</v>
      </c>
      <c r="E34" s="5" t="s">
        <v>134</v>
      </c>
      <c r="F34" s="5" t="s">
        <v>29</v>
      </c>
      <c r="G34" s="5"/>
      <c r="H34" s="7"/>
      <c r="I34" s="7"/>
    </row>
    <row r="35" customFormat="false" ht="15" hidden="false" customHeight="false" outlineLevel="0" collapsed="false">
      <c r="A35" s="5" t="s">
        <v>135</v>
      </c>
      <c r="B35" s="5" t="s">
        <v>59</v>
      </c>
      <c r="C35" s="5"/>
      <c r="D35" s="5" t="s">
        <v>136</v>
      </c>
      <c r="E35" s="5" t="s">
        <v>137</v>
      </c>
      <c r="F35" s="5" t="s">
        <v>40</v>
      </c>
      <c r="G35" s="5"/>
      <c r="H35" s="7"/>
      <c r="I35" s="7"/>
    </row>
    <row r="36" customFormat="false" ht="15" hidden="false" customHeight="false" outlineLevel="0" collapsed="false">
      <c r="A36" s="5" t="s">
        <v>138</v>
      </c>
      <c r="B36" s="5" t="s">
        <v>59</v>
      </c>
      <c r="C36" s="5"/>
      <c r="D36" s="5" t="s">
        <v>139</v>
      </c>
      <c r="E36" s="5" t="s">
        <v>140</v>
      </c>
      <c r="F36" s="5" t="s">
        <v>24</v>
      </c>
      <c r="G36" s="6" t="s">
        <v>62</v>
      </c>
      <c r="H36" s="7"/>
      <c r="I36" s="7"/>
    </row>
    <row r="37" customFormat="false" ht="15" hidden="false" customHeight="false" outlineLevel="0" collapsed="false">
      <c r="A37" s="5" t="s">
        <v>141</v>
      </c>
      <c r="B37" s="5" t="s">
        <v>59</v>
      </c>
      <c r="C37" s="5"/>
      <c r="D37" s="5" t="s">
        <v>142</v>
      </c>
      <c r="E37" s="5" t="s">
        <v>143</v>
      </c>
      <c r="F37" s="5" t="s">
        <v>24</v>
      </c>
      <c r="G37" s="5"/>
      <c r="H37" s="7"/>
      <c r="I37" s="7"/>
    </row>
    <row r="38" customFormat="false" ht="15" hidden="false" customHeight="false" outlineLevel="0" collapsed="false">
      <c r="A38" s="5" t="s">
        <v>144</v>
      </c>
      <c r="B38" s="5" t="s">
        <v>59</v>
      </c>
      <c r="C38" s="5"/>
      <c r="D38" s="5" t="s">
        <v>145</v>
      </c>
      <c r="E38" s="5" t="s">
        <v>146</v>
      </c>
      <c r="F38" s="5" t="s">
        <v>36</v>
      </c>
      <c r="G38" s="5"/>
      <c r="H38" s="7"/>
      <c r="I38" s="7"/>
    </row>
    <row r="39" customFormat="false" ht="15" hidden="false" customHeight="false" outlineLevel="0" collapsed="false">
      <c r="A39" s="5" t="s">
        <v>147</v>
      </c>
      <c r="B39" s="5" t="s">
        <v>59</v>
      </c>
      <c r="C39" s="5"/>
      <c r="D39" s="5" t="s">
        <v>148</v>
      </c>
      <c r="E39" s="5" t="s">
        <v>149</v>
      </c>
      <c r="F39" s="5" t="s">
        <v>150</v>
      </c>
      <c r="G39" s="6" t="s">
        <v>151</v>
      </c>
      <c r="H39" s="7"/>
      <c r="I39" s="7"/>
    </row>
    <row r="40" customFormat="false" ht="15" hidden="false" customHeight="false" outlineLevel="0" collapsed="false">
      <c r="A40" s="5" t="s">
        <v>152</v>
      </c>
      <c r="B40" s="5" t="s">
        <v>59</v>
      </c>
      <c r="C40" s="5"/>
      <c r="D40" s="5" t="s">
        <v>153</v>
      </c>
      <c r="E40" s="5" t="s">
        <v>154</v>
      </c>
      <c r="F40" s="5" t="s">
        <v>40</v>
      </c>
      <c r="G40" s="5"/>
      <c r="H40" s="7"/>
      <c r="I40" s="7"/>
    </row>
    <row r="41" customFormat="false" ht="15" hidden="false" customHeight="false" outlineLevel="0" collapsed="false">
      <c r="A41" s="5" t="s">
        <v>155</v>
      </c>
      <c r="B41" s="5" t="s">
        <v>59</v>
      </c>
      <c r="C41" s="5"/>
      <c r="D41" s="5" t="s">
        <v>156</v>
      </c>
      <c r="E41" s="5" t="s">
        <v>157</v>
      </c>
      <c r="F41" s="5" t="s">
        <v>24</v>
      </c>
      <c r="G41" s="6" t="s">
        <v>99</v>
      </c>
      <c r="H41" s="7"/>
      <c r="I41" s="7"/>
    </row>
    <row r="42" customFormat="false" ht="23.85" hidden="false" customHeight="false" outlineLevel="0" collapsed="false">
      <c r="A42" s="5" t="s">
        <v>158</v>
      </c>
      <c r="B42" s="5" t="s">
        <v>159</v>
      </c>
      <c r="C42" s="5"/>
      <c r="D42" s="5" t="s">
        <v>160</v>
      </c>
      <c r="E42" s="5" t="s">
        <v>161</v>
      </c>
      <c r="F42" s="5" t="s">
        <v>29</v>
      </c>
      <c r="G42" s="6" t="s">
        <v>66</v>
      </c>
      <c r="H42" s="7"/>
      <c r="I42" s="7"/>
    </row>
    <row r="43" customFormat="false" ht="15" hidden="false" customHeight="false" outlineLevel="0" collapsed="false">
      <c r="A43" s="5" t="s">
        <v>162</v>
      </c>
      <c r="B43" s="5" t="s">
        <v>159</v>
      </c>
      <c r="C43" s="5"/>
      <c r="D43" s="5" t="s">
        <v>163</v>
      </c>
      <c r="E43" s="5" t="s">
        <v>164</v>
      </c>
      <c r="F43" s="5" t="s">
        <v>36</v>
      </c>
      <c r="G43" s="6" t="s">
        <v>70</v>
      </c>
      <c r="H43" s="7"/>
      <c r="I43" s="7"/>
    </row>
    <row r="44" customFormat="false" ht="23.85" hidden="false" customHeight="false" outlineLevel="0" collapsed="false">
      <c r="A44" s="5" t="s">
        <v>165</v>
      </c>
      <c r="B44" s="5" t="s">
        <v>159</v>
      </c>
      <c r="C44" s="5"/>
      <c r="D44" s="5" t="s">
        <v>166</v>
      </c>
      <c r="E44" s="5" t="s">
        <v>167</v>
      </c>
      <c r="F44" s="5" t="s">
        <v>29</v>
      </c>
      <c r="G44" s="6" t="s">
        <v>151</v>
      </c>
      <c r="H44" s="7"/>
      <c r="I44" s="7"/>
    </row>
    <row r="45" customFormat="false" ht="15" hidden="false" customHeight="false" outlineLevel="0" collapsed="false">
      <c r="A45" s="5" t="s">
        <v>168</v>
      </c>
      <c r="B45" s="5" t="s">
        <v>159</v>
      </c>
      <c r="C45" s="5"/>
      <c r="D45" s="5" t="s">
        <v>169</v>
      </c>
      <c r="E45" s="5" t="s">
        <v>170</v>
      </c>
      <c r="F45" s="5" t="s">
        <v>24</v>
      </c>
      <c r="G45" s="6" t="s">
        <v>171</v>
      </c>
      <c r="H45" s="7"/>
      <c r="I45" s="7"/>
    </row>
    <row r="46" customFormat="false" ht="15" hidden="false" customHeight="false" outlineLevel="0" collapsed="false">
      <c r="A46" s="5" t="s">
        <v>172</v>
      </c>
      <c r="B46" s="5" t="s">
        <v>159</v>
      </c>
      <c r="C46" s="5"/>
      <c r="D46" s="5" t="s">
        <v>173</v>
      </c>
      <c r="E46" s="5" t="s">
        <v>174</v>
      </c>
      <c r="F46" s="5" t="s">
        <v>29</v>
      </c>
      <c r="G46" s="5"/>
      <c r="H46" s="7"/>
      <c r="I46" s="7"/>
    </row>
    <row r="47" customFormat="false" ht="23.85" hidden="false" customHeight="false" outlineLevel="0" collapsed="false">
      <c r="A47" s="5" t="s">
        <v>175</v>
      </c>
      <c r="B47" s="5" t="s">
        <v>159</v>
      </c>
      <c r="C47" s="5"/>
      <c r="D47" s="5" t="s">
        <v>176</v>
      </c>
      <c r="E47" s="5" t="s">
        <v>177</v>
      </c>
      <c r="F47" s="5" t="s">
        <v>24</v>
      </c>
      <c r="G47" s="5"/>
      <c r="H47" s="7"/>
      <c r="I47" s="7"/>
    </row>
    <row r="48" customFormat="false" ht="15" hidden="false" customHeight="false" outlineLevel="0" collapsed="false">
      <c r="A48" s="5" t="s">
        <v>178</v>
      </c>
      <c r="B48" s="5" t="s">
        <v>159</v>
      </c>
      <c r="C48" s="5"/>
      <c r="D48" s="5" t="s">
        <v>179</v>
      </c>
      <c r="E48" s="5" t="s">
        <v>180</v>
      </c>
      <c r="F48" s="5" t="s">
        <v>24</v>
      </c>
      <c r="G48" s="5"/>
      <c r="H48" s="7"/>
      <c r="I48" s="7"/>
    </row>
    <row r="49" customFormat="false" ht="15" hidden="false" customHeight="false" outlineLevel="0" collapsed="false">
      <c r="A49" s="5" t="s">
        <v>181</v>
      </c>
      <c r="B49" s="5" t="s">
        <v>159</v>
      </c>
      <c r="C49" s="5"/>
      <c r="D49" s="5" t="s">
        <v>182</v>
      </c>
      <c r="E49" s="5" t="s">
        <v>183</v>
      </c>
      <c r="F49" s="5" t="s">
        <v>29</v>
      </c>
      <c r="G49" s="5"/>
      <c r="H49" s="7"/>
      <c r="I49" s="7"/>
    </row>
    <row r="50" customFormat="false" ht="23.85" hidden="false" customHeight="false" outlineLevel="0" collapsed="false">
      <c r="A50" s="5" t="s">
        <v>184</v>
      </c>
      <c r="B50" s="5" t="s">
        <v>159</v>
      </c>
      <c r="C50" s="5"/>
      <c r="D50" s="5" t="s">
        <v>185</v>
      </c>
      <c r="E50" s="5" t="s">
        <v>186</v>
      </c>
      <c r="F50" s="5" t="s">
        <v>24</v>
      </c>
      <c r="G50" s="5"/>
      <c r="H50" s="7"/>
      <c r="I50" s="7"/>
    </row>
    <row r="51" customFormat="false" ht="15" hidden="false" customHeight="false" outlineLevel="0" collapsed="false">
      <c r="A51" s="5" t="s">
        <v>187</v>
      </c>
      <c r="B51" s="5" t="s">
        <v>159</v>
      </c>
      <c r="C51" s="5"/>
      <c r="D51" s="5" t="s">
        <v>188</v>
      </c>
      <c r="E51" s="5" t="s">
        <v>189</v>
      </c>
      <c r="F51" s="5" t="s">
        <v>40</v>
      </c>
      <c r="G51" s="5"/>
      <c r="H51" s="7"/>
      <c r="I51" s="7"/>
    </row>
    <row r="52" customFormat="false" ht="15" hidden="false" customHeight="false" outlineLevel="0" collapsed="false">
      <c r="A52" s="5" t="s">
        <v>190</v>
      </c>
      <c r="B52" s="5" t="s">
        <v>159</v>
      </c>
      <c r="C52" s="5"/>
      <c r="D52" s="5" t="s">
        <v>191</v>
      </c>
      <c r="E52" s="5" t="s">
        <v>192</v>
      </c>
      <c r="F52" s="5" t="s">
        <v>36</v>
      </c>
      <c r="G52" s="5"/>
      <c r="H52" s="7"/>
      <c r="I52" s="7"/>
    </row>
    <row r="53" customFormat="false" ht="15" hidden="false" customHeight="false" outlineLevel="0" collapsed="false">
      <c r="A53" s="5" t="s">
        <v>193</v>
      </c>
      <c r="B53" s="5" t="s">
        <v>159</v>
      </c>
      <c r="C53" s="5"/>
      <c r="D53" s="5" t="s">
        <v>194</v>
      </c>
      <c r="E53" s="5" t="s">
        <v>195</v>
      </c>
      <c r="F53" s="5" t="s">
        <v>36</v>
      </c>
      <c r="G53" s="5"/>
      <c r="H53" s="7"/>
      <c r="I53" s="7"/>
    </row>
    <row r="54" customFormat="false" ht="15" hidden="false" customHeight="false" outlineLevel="0" collapsed="false">
      <c r="A54" s="5" t="s">
        <v>196</v>
      </c>
      <c r="B54" s="5" t="s">
        <v>159</v>
      </c>
      <c r="C54" s="5"/>
      <c r="D54" s="5" t="s">
        <v>197</v>
      </c>
      <c r="E54" s="5" t="s">
        <v>198</v>
      </c>
      <c r="F54" s="5" t="s">
        <v>29</v>
      </c>
      <c r="G54" s="6" t="s">
        <v>199</v>
      </c>
      <c r="H54" s="7"/>
      <c r="I54" s="7"/>
    </row>
    <row r="55" customFormat="false" ht="15" hidden="false" customHeight="false" outlineLevel="0" collapsed="false">
      <c r="A55" s="5" t="s">
        <v>200</v>
      </c>
      <c r="B55" s="5" t="s">
        <v>159</v>
      </c>
      <c r="C55" s="5"/>
      <c r="D55" s="5" t="s">
        <v>201</v>
      </c>
      <c r="E55" s="5" t="s">
        <v>202</v>
      </c>
      <c r="F55" s="5" t="s">
        <v>29</v>
      </c>
      <c r="G55" s="5"/>
      <c r="H55" s="7"/>
      <c r="I55" s="7"/>
    </row>
    <row r="56" customFormat="false" ht="15" hidden="false" customHeight="false" outlineLevel="0" collapsed="false">
      <c r="A56" s="5" t="s">
        <v>203</v>
      </c>
      <c r="B56" s="5" t="s">
        <v>159</v>
      </c>
      <c r="C56" s="5"/>
      <c r="D56" s="5" t="s">
        <v>204</v>
      </c>
      <c r="E56" s="5" t="s">
        <v>205</v>
      </c>
      <c r="F56" s="5" t="s">
        <v>40</v>
      </c>
      <c r="G56" s="5"/>
      <c r="H56" s="7"/>
      <c r="I56" s="7"/>
    </row>
    <row r="57" customFormat="false" ht="15" hidden="false" customHeight="false" outlineLevel="0" collapsed="false">
      <c r="A57" s="5" t="s">
        <v>206</v>
      </c>
      <c r="B57" s="5" t="s">
        <v>159</v>
      </c>
      <c r="C57" s="5"/>
      <c r="D57" s="5" t="s">
        <v>207</v>
      </c>
      <c r="E57" s="5" t="s">
        <v>208</v>
      </c>
      <c r="F57" s="5" t="s">
        <v>36</v>
      </c>
      <c r="G57" s="5"/>
      <c r="H57" s="7"/>
      <c r="I57" s="7"/>
    </row>
    <row r="58" customFormat="false" ht="15" hidden="false" customHeight="false" outlineLevel="0" collapsed="false">
      <c r="A58" s="5" t="s">
        <v>209</v>
      </c>
      <c r="B58" s="5" t="s">
        <v>159</v>
      </c>
      <c r="C58" s="5"/>
      <c r="D58" s="5" t="s">
        <v>210</v>
      </c>
      <c r="E58" s="5" t="s">
        <v>211</v>
      </c>
      <c r="F58" s="5" t="s">
        <v>40</v>
      </c>
      <c r="G58" s="5"/>
      <c r="H58" s="7"/>
      <c r="I58" s="7"/>
    </row>
    <row r="59" customFormat="false" ht="15" hidden="false" customHeight="false" outlineLevel="0" collapsed="false">
      <c r="A59" s="5" t="s">
        <v>212</v>
      </c>
      <c r="B59" s="5" t="s">
        <v>159</v>
      </c>
      <c r="C59" s="5"/>
      <c r="D59" s="5" t="s">
        <v>213</v>
      </c>
      <c r="E59" s="5" t="s">
        <v>214</v>
      </c>
      <c r="F59" s="5" t="s">
        <v>40</v>
      </c>
      <c r="G59" s="5"/>
      <c r="H59" s="7"/>
      <c r="I59" s="7"/>
    </row>
    <row r="60" customFormat="false" ht="15" hidden="false" customHeight="false" outlineLevel="0" collapsed="false">
      <c r="A60" s="5" t="s">
        <v>215</v>
      </c>
      <c r="B60" s="5" t="s">
        <v>159</v>
      </c>
      <c r="C60" s="5"/>
      <c r="D60" s="5" t="s">
        <v>216</v>
      </c>
      <c r="E60" s="5" t="s">
        <v>217</v>
      </c>
      <c r="F60" s="5" t="s">
        <v>24</v>
      </c>
      <c r="G60" s="5"/>
      <c r="H60" s="7"/>
      <c r="I60" s="7"/>
    </row>
    <row r="61" customFormat="false" ht="15" hidden="false" customHeight="false" outlineLevel="0" collapsed="false">
      <c r="A61" s="5" t="s">
        <v>218</v>
      </c>
      <c r="B61" s="5" t="s">
        <v>159</v>
      </c>
      <c r="C61" s="5"/>
      <c r="D61" s="5" t="s">
        <v>219</v>
      </c>
      <c r="E61" s="5" t="s">
        <v>220</v>
      </c>
      <c r="F61" s="5" t="s">
        <v>29</v>
      </c>
      <c r="G61" s="5"/>
      <c r="H61" s="7"/>
      <c r="I61" s="7"/>
    </row>
    <row r="62" customFormat="false" ht="15" hidden="false" customHeight="false" outlineLevel="0" collapsed="false">
      <c r="A62" s="5" t="s">
        <v>221</v>
      </c>
      <c r="B62" s="5" t="s">
        <v>159</v>
      </c>
      <c r="C62" s="5"/>
      <c r="D62" s="5" t="s">
        <v>222</v>
      </c>
      <c r="E62" s="5" t="s">
        <v>223</v>
      </c>
      <c r="F62" s="5" t="s">
        <v>36</v>
      </c>
      <c r="G62" s="5"/>
      <c r="H62" s="7"/>
      <c r="I62" s="7"/>
    </row>
    <row r="63" customFormat="false" ht="15" hidden="false" customHeight="false" outlineLevel="0" collapsed="false">
      <c r="A63" s="5" t="s">
        <v>224</v>
      </c>
      <c r="B63" s="5" t="s">
        <v>159</v>
      </c>
      <c r="C63" s="5"/>
      <c r="D63" s="5" t="s">
        <v>225</v>
      </c>
      <c r="E63" s="5" t="s">
        <v>226</v>
      </c>
      <c r="F63" s="5" t="s">
        <v>29</v>
      </c>
      <c r="G63" s="6" t="s">
        <v>122</v>
      </c>
      <c r="H63" s="7"/>
      <c r="I63" s="7"/>
    </row>
    <row r="64" customFormat="false" ht="15" hidden="false" customHeight="false" outlineLevel="0" collapsed="false">
      <c r="A64" s="5" t="s">
        <v>227</v>
      </c>
      <c r="B64" s="5" t="s">
        <v>159</v>
      </c>
      <c r="C64" s="5"/>
      <c r="D64" s="5" t="s">
        <v>228</v>
      </c>
      <c r="E64" s="5" t="s">
        <v>229</v>
      </c>
      <c r="F64" s="5" t="s">
        <v>40</v>
      </c>
      <c r="G64" s="5"/>
      <c r="H64" s="7"/>
      <c r="I64" s="7"/>
    </row>
    <row r="65" customFormat="false" ht="15" hidden="false" customHeight="false" outlineLevel="0" collapsed="false">
      <c r="A65" s="5" t="s">
        <v>230</v>
      </c>
      <c r="B65" s="5" t="s">
        <v>159</v>
      </c>
      <c r="C65" s="5"/>
      <c r="D65" s="5" t="s">
        <v>231</v>
      </c>
      <c r="E65" s="5" t="s">
        <v>232</v>
      </c>
      <c r="F65" s="5" t="s">
        <v>36</v>
      </c>
      <c r="G65" s="6" t="s">
        <v>233</v>
      </c>
      <c r="H65" s="7"/>
      <c r="I65" s="7"/>
    </row>
    <row r="66" customFormat="false" ht="15" hidden="false" customHeight="false" outlineLevel="0" collapsed="false">
      <c r="A66" s="5" t="s">
        <v>234</v>
      </c>
      <c r="B66" s="5" t="s">
        <v>159</v>
      </c>
      <c r="C66" s="5"/>
      <c r="D66" s="5" t="s">
        <v>235</v>
      </c>
      <c r="E66" s="5" t="s">
        <v>236</v>
      </c>
      <c r="F66" s="5" t="s">
        <v>36</v>
      </c>
      <c r="G66" s="6" t="s">
        <v>70</v>
      </c>
      <c r="H66" s="7"/>
      <c r="I66" s="7"/>
    </row>
    <row r="67" customFormat="false" ht="15" hidden="false" customHeight="false" outlineLevel="0" collapsed="false">
      <c r="A67" s="5" t="s">
        <v>237</v>
      </c>
      <c r="B67" s="5" t="s">
        <v>159</v>
      </c>
      <c r="C67" s="5"/>
      <c r="D67" s="5" t="s">
        <v>238</v>
      </c>
      <c r="E67" s="5" t="s">
        <v>239</v>
      </c>
      <c r="F67" s="5" t="s">
        <v>29</v>
      </c>
      <c r="G67" s="5"/>
      <c r="H67" s="7"/>
      <c r="I67" s="7"/>
    </row>
    <row r="68" customFormat="false" ht="15" hidden="false" customHeight="false" outlineLevel="0" collapsed="false">
      <c r="A68" s="5" t="s">
        <v>240</v>
      </c>
      <c r="B68" s="5" t="s">
        <v>159</v>
      </c>
      <c r="C68" s="5"/>
      <c r="D68" s="5" t="s">
        <v>241</v>
      </c>
      <c r="E68" s="5" t="s">
        <v>242</v>
      </c>
      <c r="F68" s="5" t="s">
        <v>36</v>
      </c>
      <c r="G68" s="6" t="s">
        <v>243</v>
      </c>
      <c r="H68" s="7"/>
      <c r="I68" s="7"/>
    </row>
    <row r="69" customFormat="false" ht="15" hidden="false" customHeight="false" outlineLevel="0" collapsed="false">
      <c r="A69" s="5" t="s">
        <v>244</v>
      </c>
      <c r="B69" s="5" t="s">
        <v>159</v>
      </c>
      <c r="C69" s="5"/>
      <c r="D69" s="5" t="s">
        <v>245</v>
      </c>
      <c r="E69" s="5" t="s">
        <v>246</v>
      </c>
      <c r="F69" s="5" t="s">
        <v>36</v>
      </c>
      <c r="G69" s="5"/>
      <c r="H69" s="7"/>
      <c r="I69" s="7"/>
    </row>
    <row r="70" customFormat="false" ht="15" hidden="false" customHeight="false" outlineLevel="0" collapsed="false">
      <c r="A70" s="5" t="s">
        <v>247</v>
      </c>
      <c r="B70" s="5" t="s">
        <v>159</v>
      </c>
      <c r="C70" s="5"/>
      <c r="D70" s="5" t="s">
        <v>248</v>
      </c>
      <c r="E70" s="5" t="s">
        <v>249</v>
      </c>
      <c r="F70" s="5" t="s">
        <v>36</v>
      </c>
      <c r="G70" s="5"/>
      <c r="H70" s="7"/>
      <c r="I70" s="7"/>
    </row>
    <row r="71" customFormat="false" ht="15" hidden="false" customHeight="false" outlineLevel="0" collapsed="false">
      <c r="A71" s="5" t="s">
        <v>250</v>
      </c>
      <c r="B71" s="5" t="s">
        <v>159</v>
      </c>
      <c r="C71" s="5"/>
      <c r="D71" s="5" t="s">
        <v>251</v>
      </c>
      <c r="E71" s="5" t="s">
        <v>252</v>
      </c>
      <c r="F71" s="5" t="s">
        <v>24</v>
      </c>
      <c r="G71" s="5"/>
      <c r="H71" s="7"/>
      <c r="I71" s="7"/>
    </row>
    <row r="72" customFormat="false" ht="15" hidden="false" customHeight="false" outlineLevel="0" collapsed="false">
      <c r="A72" s="5" t="s">
        <v>253</v>
      </c>
      <c r="B72" s="5" t="s">
        <v>254</v>
      </c>
      <c r="C72" s="5"/>
      <c r="D72" s="5" t="s">
        <v>255</v>
      </c>
      <c r="E72" s="5" t="s">
        <v>256</v>
      </c>
      <c r="F72" s="5" t="s">
        <v>29</v>
      </c>
      <c r="G72" s="5"/>
      <c r="H72" s="7"/>
      <c r="I72" s="7"/>
    </row>
    <row r="73" customFormat="false" ht="15" hidden="false" customHeight="false" outlineLevel="0" collapsed="false">
      <c r="A73" s="5" t="s">
        <v>257</v>
      </c>
      <c r="B73" s="5" t="s">
        <v>254</v>
      </c>
      <c r="C73" s="5"/>
      <c r="D73" s="5" t="s">
        <v>258</v>
      </c>
      <c r="E73" s="5" t="s">
        <v>259</v>
      </c>
      <c r="F73" s="5" t="s">
        <v>24</v>
      </c>
      <c r="G73" s="5"/>
      <c r="H73" s="7"/>
      <c r="I73" s="7"/>
    </row>
    <row r="74" customFormat="false" ht="15" hidden="false" customHeight="false" outlineLevel="0" collapsed="false">
      <c r="A74" s="5" t="s">
        <v>260</v>
      </c>
      <c r="B74" s="5" t="s">
        <v>254</v>
      </c>
      <c r="C74" s="5"/>
      <c r="D74" s="5" t="s">
        <v>261</v>
      </c>
      <c r="E74" s="5" t="s">
        <v>262</v>
      </c>
      <c r="F74" s="5" t="s">
        <v>29</v>
      </c>
      <c r="G74" s="5"/>
      <c r="H74" s="7"/>
      <c r="I74" s="7"/>
    </row>
    <row r="75" customFormat="false" ht="15" hidden="false" customHeight="false" outlineLevel="0" collapsed="false">
      <c r="A75" s="5" t="s">
        <v>263</v>
      </c>
      <c r="B75" s="5" t="s">
        <v>254</v>
      </c>
      <c r="C75" s="5"/>
      <c r="D75" s="5" t="s">
        <v>264</v>
      </c>
      <c r="E75" s="5" t="s">
        <v>265</v>
      </c>
      <c r="F75" s="5" t="s">
        <v>29</v>
      </c>
      <c r="G75" s="5"/>
      <c r="H75" s="7"/>
      <c r="I75" s="7"/>
    </row>
    <row r="76" customFormat="false" ht="15" hidden="false" customHeight="false" outlineLevel="0" collapsed="false">
      <c r="A76" s="5" t="s">
        <v>266</v>
      </c>
      <c r="B76" s="5" t="s">
        <v>254</v>
      </c>
      <c r="C76" s="5"/>
      <c r="D76" s="5" t="s">
        <v>267</v>
      </c>
      <c r="E76" s="5" t="s">
        <v>268</v>
      </c>
      <c r="F76" s="5" t="s">
        <v>29</v>
      </c>
      <c r="G76" s="6" t="s">
        <v>54</v>
      </c>
      <c r="H76" s="7"/>
      <c r="I76" s="7"/>
    </row>
    <row r="77" customFormat="false" ht="15" hidden="false" customHeight="false" outlineLevel="0" collapsed="false">
      <c r="A77" s="5" t="s">
        <v>269</v>
      </c>
      <c r="B77" s="5" t="s">
        <v>254</v>
      </c>
      <c r="C77" s="5"/>
      <c r="D77" s="5" t="s">
        <v>270</v>
      </c>
      <c r="E77" s="5" t="s">
        <v>271</v>
      </c>
      <c r="F77" s="5" t="s">
        <v>29</v>
      </c>
      <c r="G77" s="5"/>
      <c r="H77" s="7"/>
      <c r="I77" s="7"/>
    </row>
    <row r="78" customFormat="false" ht="15" hidden="false" customHeight="false" outlineLevel="0" collapsed="false">
      <c r="A78" s="5" t="s">
        <v>272</v>
      </c>
      <c r="B78" s="5" t="s">
        <v>254</v>
      </c>
      <c r="C78" s="5"/>
      <c r="D78" s="5" t="s">
        <v>273</v>
      </c>
      <c r="E78" s="5" t="s">
        <v>274</v>
      </c>
      <c r="F78" s="5" t="s">
        <v>29</v>
      </c>
      <c r="G78" s="5"/>
      <c r="H78" s="7"/>
      <c r="I78" s="7"/>
    </row>
    <row r="79" customFormat="false" ht="15" hidden="false" customHeight="false" outlineLevel="0" collapsed="false">
      <c r="A79" s="5" t="s">
        <v>275</v>
      </c>
      <c r="B79" s="5" t="s">
        <v>254</v>
      </c>
      <c r="C79" s="5"/>
      <c r="D79" s="5" t="s">
        <v>276</v>
      </c>
      <c r="E79" s="5" t="s">
        <v>277</v>
      </c>
      <c r="F79" s="5" t="s">
        <v>24</v>
      </c>
      <c r="G79" s="5"/>
      <c r="H79" s="7"/>
      <c r="I79" s="7"/>
    </row>
    <row r="80" customFormat="false" ht="15" hidden="false" customHeight="false" outlineLevel="0" collapsed="false">
      <c r="A80" s="5" t="s">
        <v>278</v>
      </c>
      <c r="B80" s="5" t="s">
        <v>254</v>
      </c>
      <c r="C80" s="5"/>
      <c r="D80" s="5" t="s">
        <v>279</v>
      </c>
      <c r="E80" s="5" t="s">
        <v>280</v>
      </c>
      <c r="F80" s="5" t="s">
        <v>29</v>
      </c>
      <c r="G80" s="5"/>
      <c r="H80" s="7"/>
      <c r="I80" s="7"/>
    </row>
    <row r="81" customFormat="false" ht="15" hidden="false" customHeight="false" outlineLevel="0" collapsed="false">
      <c r="A81" s="5" t="s">
        <v>281</v>
      </c>
      <c r="B81" s="5" t="s">
        <v>254</v>
      </c>
      <c r="C81" s="5"/>
      <c r="D81" s="5" t="s">
        <v>282</v>
      </c>
      <c r="E81" s="5" t="s">
        <v>283</v>
      </c>
      <c r="F81" s="5" t="s">
        <v>29</v>
      </c>
      <c r="G81" s="5"/>
      <c r="H81" s="7"/>
      <c r="I81" s="7"/>
    </row>
    <row r="82" customFormat="false" ht="15" hidden="false" customHeight="false" outlineLevel="0" collapsed="false">
      <c r="A82" s="5" t="s">
        <v>284</v>
      </c>
      <c r="B82" s="5" t="s">
        <v>254</v>
      </c>
      <c r="C82" s="5"/>
      <c r="D82" s="5" t="s">
        <v>285</v>
      </c>
      <c r="E82" s="5" t="s">
        <v>286</v>
      </c>
      <c r="F82" s="5" t="s">
        <v>29</v>
      </c>
      <c r="G82" s="5"/>
      <c r="H82" s="7"/>
      <c r="I82" s="7"/>
    </row>
    <row r="83" customFormat="false" ht="15" hidden="false" customHeight="false" outlineLevel="0" collapsed="false">
      <c r="A83" s="5" t="s">
        <v>287</v>
      </c>
      <c r="B83" s="5" t="s">
        <v>254</v>
      </c>
      <c r="C83" s="5"/>
      <c r="D83" s="5" t="s">
        <v>288</v>
      </c>
      <c r="E83" s="5" t="s">
        <v>289</v>
      </c>
      <c r="F83" s="5" t="s">
        <v>24</v>
      </c>
      <c r="G83" s="5"/>
      <c r="H83" s="7"/>
      <c r="I83" s="7"/>
    </row>
    <row r="84" customFormat="false" ht="15" hidden="false" customHeight="false" outlineLevel="0" collapsed="false">
      <c r="A84" s="5" t="s">
        <v>290</v>
      </c>
      <c r="B84" s="5" t="s">
        <v>254</v>
      </c>
      <c r="C84" s="5"/>
      <c r="D84" s="5" t="s">
        <v>291</v>
      </c>
      <c r="E84" s="5" t="s">
        <v>292</v>
      </c>
      <c r="F84" s="5" t="s">
        <v>29</v>
      </c>
      <c r="G84" s="5"/>
      <c r="H84" s="7"/>
      <c r="I84" s="7"/>
    </row>
    <row r="85" customFormat="false" ht="15" hidden="false" customHeight="false" outlineLevel="0" collapsed="false">
      <c r="A85" s="5" t="s">
        <v>293</v>
      </c>
      <c r="B85" s="5" t="s">
        <v>254</v>
      </c>
      <c r="C85" s="5"/>
      <c r="D85" s="5" t="s">
        <v>294</v>
      </c>
      <c r="E85" s="5" t="s">
        <v>295</v>
      </c>
      <c r="F85" s="5" t="s">
        <v>29</v>
      </c>
      <c r="G85" s="5"/>
      <c r="H85" s="7"/>
      <c r="I85" s="7"/>
    </row>
    <row r="86" customFormat="false" ht="15" hidden="false" customHeight="false" outlineLevel="0" collapsed="false">
      <c r="A86" s="5" t="s">
        <v>296</v>
      </c>
      <c r="B86" s="5" t="s">
        <v>254</v>
      </c>
      <c r="C86" s="5"/>
      <c r="D86" s="5" t="s">
        <v>297</v>
      </c>
      <c r="E86" s="5" t="s">
        <v>298</v>
      </c>
      <c r="F86" s="5" t="s">
        <v>47</v>
      </c>
      <c r="G86" s="5"/>
      <c r="H86" s="7"/>
      <c r="I86" s="7"/>
    </row>
    <row r="87" customFormat="false" ht="15" hidden="false" customHeight="false" outlineLevel="0" collapsed="false">
      <c r="A87" s="5" t="s">
        <v>299</v>
      </c>
      <c r="B87" s="5" t="s">
        <v>254</v>
      </c>
      <c r="C87" s="5"/>
      <c r="D87" s="5" t="s">
        <v>300</v>
      </c>
      <c r="E87" s="5" t="s">
        <v>301</v>
      </c>
      <c r="F87" s="5" t="s">
        <v>29</v>
      </c>
      <c r="G87" s="6" t="s">
        <v>54</v>
      </c>
      <c r="H87" s="7"/>
      <c r="I87" s="7"/>
    </row>
    <row r="88" customFormat="false" ht="15" hidden="false" customHeight="false" outlineLevel="0" collapsed="false">
      <c r="A88" s="5" t="s">
        <v>302</v>
      </c>
      <c r="B88" s="5" t="s">
        <v>254</v>
      </c>
      <c r="C88" s="5"/>
      <c r="D88" s="5" t="s">
        <v>303</v>
      </c>
      <c r="E88" s="5" t="s">
        <v>304</v>
      </c>
      <c r="F88" s="5" t="s">
        <v>24</v>
      </c>
      <c r="G88" s="5"/>
      <c r="H88" s="7"/>
      <c r="I88" s="7"/>
    </row>
    <row r="89" customFormat="false" ht="15" hidden="false" customHeight="false" outlineLevel="0" collapsed="false">
      <c r="A89" s="5" t="s">
        <v>305</v>
      </c>
      <c r="B89" s="5" t="s">
        <v>254</v>
      </c>
      <c r="C89" s="5"/>
      <c r="D89" s="5" t="s">
        <v>306</v>
      </c>
      <c r="E89" s="5" t="s">
        <v>307</v>
      </c>
      <c r="F89" s="5" t="s">
        <v>24</v>
      </c>
      <c r="G89" s="6" t="s">
        <v>308</v>
      </c>
      <c r="H89" s="7"/>
      <c r="I89" s="7"/>
    </row>
    <row r="90" customFormat="false" ht="15" hidden="false" customHeight="false" outlineLevel="0" collapsed="false">
      <c r="A90" s="5" t="s">
        <v>309</v>
      </c>
      <c r="B90" s="5" t="s">
        <v>254</v>
      </c>
      <c r="C90" s="5"/>
      <c r="D90" s="5" t="s">
        <v>310</v>
      </c>
      <c r="E90" s="5" t="s">
        <v>311</v>
      </c>
      <c r="F90" s="5" t="s">
        <v>29</v>
      </c>
      <c r="G90" s="5"/>
      <c r="H90" s="7"/>
      <c r="I90" s="7"/>
    </row>
    <row r="91" customFormat="false" ht="15" hidden="false" customHeight="false" outlineLevel="0" collapsed="false">
      <c r="A91" s="5" t="s">
        <v>312</v>
      </c>
      <c r="B91" s="5" t="s">
        <v>254</v>
      </c>
      <c r="C91" s="5"/>
      <c r="D91" s="5" t="s">
        <v>313</v>
      </c>
      <c r="E91" s="5" t="s">
        <v>314</v>
      </c>
      <c r="F91" s="5" t="s">
        <v>40</v>
      </c>
      <c r="G91" s="5"/>
      <c r="H91" s="7"/>
      <c r="I91" s="7"/>
    </row>
    <row r="92" customFormat="false" ht="15" hidden="false" customHeight="false" outlineLevel="0" collapsed="false">
      <c r="A92" s="5" t="s">
        <v>315</v>
      </c>
      <c r="B92" s="5" t="s">
        <v>254</v>
      </c>
      <c r="C92" s="5"/>
      <c r="D92" s="5" t="s">
        <v>316</v>
      </c>
      <c r="E92" s="5" t="s">
        <v>317</v>
      </c>
      <c r="F92" s="5" t="s">
        <v>24</v>
      </c>
      <c r="G92" s="5"/>
      <c r="H92" s="7"/>
      <c r="I92" s="7"/>
    </row>
    <row r="93" customFormat="false" ht="15" hidden="false" customHeight="false" outlineLevel="0" collapsed="false">
      <c r="A93" s="5" t="s">
        <v>318</v>
      </c>
      <c r="B93" s="5" t="s">
        <v>254</v>
      </c>
      <c r="C93" s="5"/>
      <c r="D93" s="5" t="s">
        <v>319</v>
      </c>
      <c r="E93" s="5" t="s">
        <v>320</v>
      </c>
      <c r="F93" s="5" t="s">
        <v>29</v>
      </c>
      <c r="G93" s="5"/>
      <c r="H93" s="7"/>
      <c r="I93" s="7"/>
    </row>
    <row r="94" customFormat="false" ht="15" hidden="false" customHeight="false" outlineLevel="0" collapsed="false">
      <c r="A94" s="5" t="s">
        <v>321</v>
      </c>
      <c r="B94" s="5" t="s">
        <v>254</v>
      </c>
      <c r="C94" s="5"/>
      <c r="D94" s="5" t="s">
        <v>322</v>
      </c>
      <c r="E94" s="5" t="s">
        <v>323</v>
      </c>
      <c r="F94" s="5" t="s">
        <v>36</v>
      </c>
      <c r="G94" s="6" t="s">
        <v>324</v>
      </c>
      <c r="H94" s="7"/>
      <c r="I94" s="7"/>
    </row>
    <row r="95" customFormat="false" ht="15" hidden="false" customHeight="false" outlineLevel="0" collapsed="false">
      <c r="A95" s="5" t="s">
        <v>325</v>
      </c>
      <c r="B95" s="5" t="s">
        <v>254</v>
      </c>
      <c r="C95" s="5"/>
      <c r="D95" s="5" t="s">
        <v>326</v>
      </c>
      <c r="E95" s="5" t="s">
        <v>327</v>
      </c>
      <c r="F95" s="5" t="s">
        <v>29</v>
      </c>
      <c r="G95" s="5"/>
      <c r="H95" s="7"/>
      <c r="I95" s="7"/>
    </row>
    <row r="96" customFormat="false" ht="15" hidden="false" customHeight="false" outlineLevel="0" collapsed="false">
      <c r="A96" s="5" t="s">
        <v>328</v>
      </c>
      <c r="B96" s="5" t="s">
        <v>254</v>
      </c>
      <c r="C96" s="5"/>
      <c r="D96" s="5" t="s">
        <v>329</v>
      </c>
      <c r="E96" s="5" t="s">
        <v>330</v>
      </c>
      <c r="F96" s="5" t="s">
        <v>29</v>
      </c>
      <c r="G96" s="6" t="s">
        <v>331</v>
      </c>
      <c r="H96" s="7"/>
      <c r="I96" s="7"/>
    </row>
    <row r="97" customFormat="false" ht="23.85" hidden="false" customHeight="false" outlineLevel="0" collapsed="false">
      <c r="A97" s="5" t="s">
        <v>332</v>
      </c>
      <c r="B97" s="5" t="s">
        <v>254</v>
      </c>
      <c r="C97" s="5"/>
      <c r="D97" s="5" t="s">
        <v>333</v>
      </c>
      <c r="E97" s="5" t="s">
        <v>334</v>
      </c>
      <c r="F97" s="5" t="s">
        <v>40</v>
      </c>
      <c r="G97" s="5"/>
      <c r="H97" s="7"/>
      <c r="I97" s="7"/>
    </row>
    <row r="98" customFormat="false" ht="15" hidden="false" customHeight="false" outlineLevel="0" collapsed="false">
      <c r="A98" s="5" t="s">
        <v>335</v>
      </c>
      <c r="B98" s="5" t="s">
        <v>254</v>
      </c>
      <c r="C98" s="5"/>
      <c r="D98" s="5" t="s">
        <v>336</v>
      </c>
      <c r="E98" s="5" t="s">
        <v>337</v>
      </c>
      <c r="F98" s="5" t="s">
        <v>40</v>
      </c>
      <c r="G98" s="6" t="s">
        <v>308</v>
      </c>
      <c r="H98" s="7"/>
      <c r="I98" s="7"/>
    </row>
    <row r="99" customFormat="false" ht="15" hidden="false" customHeight="false" outlineLevel="0" collapsed="false">
      <c r="A99" s="5" t="s">
        <v>338</v>
      </c>
      <c r="B99" s="5" t="s">
        <v>254</v>
      </c>
      <c r="C99" s="5"/>
      <c r="D99" s="5" t="s">
        <v>339</v>
      </c>
      <c r="E99" s="5" t="s">
        <v>340</v>
      </c>
      <c r="F99" s="5" t="s">
        <v>29</v>
      </c>
      <c r="G99" s="5"/>
      <c r="H99" s="7"/>
      <c r="I99" s="7"/>
    </row>
    <row r="100" customFormat="false" ht="15" hidden="false" customHeight="false" outlineLevel="0" collapsed="false">
      <c r="A100" s="5" t="s">
        <v>341</v>
      </c>
      <c r="B100" s="5" t="s">
        <v>254</v>
      </c>
      <c r="C100" s="5"/>
      <c r="D100" s="5" t="s">
        <v>342</v>
      </c>
      <c r="E100" s="5" t="s">
        <v>343</v>
      </c>
      <c r="F100" s="5" t="s">
        <v>24</v>
      </c>
      <c r="G100" s="5"/>
      <c r="H100" s="7"/>
      <c r="I100" s="7"/>
    </row>
    <row r="101" customFormat="false" ht="15" hidden="false" customHeight="false" outlineLevel="0" collapsed="false">
      <c r="A101" s="5" t="s">
        <v>344</v>
      </c>
      <c r="B101" s="5" t="s">
        <v>254</v>
      </c>
      <c r="C101" s="5"/>
      <c r="D101" s="5" t="s">
        <v>345</v>
      </c>
      <c r="E101" s="5" t="s">
        <v>346</v>
      </c>
      <c r="F101" s="5" t="s">
        <v>29</v>
      </c>
      <c r="G101" s="5"/>
      <c r="H101" s="7"/>
      <c r="I101" s="7"/>
    </row>
    <row r="102" customFormat="false" ht="35.05" hidden="false" customHeight="false" outlineLevel="0" collapsed="false">
      <c r="A102" s="5" t="s">
        <v>347</v>
      </c>
      <c r="B102" s="5" t="s">
        <v>348</v>
      </c>
      <c r="C102" s="5"/>
      <c r="D102" s="5" t="s">
        <v>349</v>
      </c>
      <c r="E102" s="5" t="s">
        <v>350</v>
      </c>
      <c r="F102" s="5" t="s">
        <v>29</v>
      </c>
      <c r="G102" s="6" t="s">
        <v>351</v>
      </c>
      <c r="H102" s="7"/>
      <c r="I102" s="7"/>
    </row>
    <row r="103" customFormat="false" ht="15" hidden="false" customHeight="false" outlineLevel="0" collapsed="false">
      <c r="A103" s="5" t="s">
        <v>352</v>
      </c>
      <c r="B103" s="5" t="s">
        <v>348</v>
      </c>
      <c r="C103" s="5"/>
      <c r="D103" s="5" t="s">
        <v>353</v>
      </c>
      <c r="E103" s="5" t="s">
        <v>354</v>
      </c>
      <c r="F103" s="5" t="s">
        <v>29</v>
      </c>
      <c r="G103" s="5"/>
      <c r="H103" s="7"/>
      <c r="I103" s="7"/>
    </row>
    <row r="104" customFormat="false" ht="15" hidden="false" customHeight="false" outlineLevel="0" collapsed="false">
      <c r="A104" s="5" t="s">
        <v>355</v>
      </c>
      <c r="B104" s="5" t="s">
        <v>348</v>
      </c>
      <c r="C104" s="5"/>
      <c r="D104" s="5" t="s">
        <v>356</v>
      </c>
      <c r="E104" s="5" t="s">
        <v>357</v>
      </c>
      <c r="F104" s="5" t="s">
        <v>29</v>
      </c>
      <c r="G104" s="5"/>
      <c r="H104" s="7"/>
      <c r="I104" s="7"/>
    </row>
    <row r="105" customFormat="false" ht="15" hidden="false" customHeight="false" outlineLevel="0" collapsed="false">
      <c r="A105" s="5" t="s">
        <v>358</v>
      </c>
      <c r="B105" s="5" t="s">
        <v>348</v>
      </c>
      <c r="C105" s="5"/>
      <c r="D105" s="5" t="s">
        <v>359</v>
      </c>
      <c r="E105" s="5" t="s">
        <v>360</v>
      </c>
      <c r="F105" s="5" t="s">
        <v>29</v>
      </c>
      <c r="G105" s="5"/>
      <c r="H105" s="7"/>
      <c r="I105" s="7"/>
    </row>
    <row r="106" customFormat="false" ht="15" hidden="false" customHeight="false" outlineLevel="0" collapsed="false">
      <c r="A106" s="5" t="s">
        <v>361</v>
      </c>
      <c r="B106" s="5" t="s">
        <v>348</v>
      </c>
      <c r="C106" s="5"/>
      <c r="D106" s="5" t="s">
        <v>362</v>
      </c>
      <c r="E106" s="5" t="s">
        <v>363</v>
      </c>
      <c r="F106" s="5" t="s">
        <v>29</v>
      </c>
      <c r="G106" s="5"/>
      <c r="H106" s="7"/>
      <c r="I106" s="7"/>
    </row>
    <row r="107" customFormat="false" ht="15" hidden="false" customHeight="false" outlineLevel="0" collapsed="false">
      <c r="A107" s="5" t="s">
        <v>364</v>
      </c>
      <c r="B107" s="5" t="s">
        <v>348</v>
      </c>
      <c r="C107" s="5"/>
      <c r="D107" s="5" t="s">
        <v>365</v>
      </c>
      <c r="E107" s="5" t="s">
        <v>366</v>
      </c>
      <c r="F107" s="5" t="s">
        <v>29</v>
      </c>
      <c r="G107" s="5"/>
      <c r="H107" s="7"/>
      <c r="I107" s="7"/>
    </row>
    <row r="108" customFormat="false" ht="15" hidden="false" customHeight="false" outlineLevel="0" collapsed="false">
      <c r="A108" s="5" t="s">
        <v>367</v>
      </c>
      <c r="B108" s="5" t="s">
        <v>348</v>
      </c>
      <c r="C108" s="5"/>
      <c r="D108" s="5" t="s">
        <v>368</v>
      </c>
      <c r="E108" s="5" t="s">
        <v>369</v>
      </c>
      <c r="F108" s="5" t="s">
        <v>29</v>
      </c>
      <c r="G108" s="5"/>
      <c r="H108" s="7"/>
      <c r="I108" s="7"/>
    </row>
    <row r="109" customFormat="false" ht="15" hidden="false" customHeight="false" outlineLevel="0" collapsed="false">
      <c r="A109" s="5" t="s">
        <v>370</v>
      </c>
      <c r="B109" s="5" t="s">
        <v>348</v>
      </c>
      <c r="C109" s="5"/>
      <c r="D109" s="5" t="s">
        <v>371</v>
      </c>
      <c r="E109" s="5" t="s">
        <v>372</v>
      </c>
      <c r="F109" s="5" t="s">
        <v>29</v>
      </c>
      <c r="G109" s="5"/>
      <c r="H109" s="7"/>
      <c r="I109" s="7"/>
    </row>
    <row r="110" customFormat="false" ht="15" hidden="false" customHeight="false" outlineLevel="0" collapsed="false">
      <c r="A110" s="5" t="s">
        <v>373</v>
      </c>
      <c r="B110" s="5" t="s">
        <v>348</v>
      </c>
      <c r="C110" s="5"/>
      <c r="D110" s="5" t="s">
        <v>374</v>
      </c>
      <c r="E110" s="5" t="s">
        <v>375</v>
      </c>
      <c r="F110" s="5" t="s">
        <v>29</v>
      </c>
      <c r="G110" s="5"/>
      <c r="H110" s="7"/>
      <c r="I110" s="7"/>
    </row>
    <row r="111" customFormat="false" ht="15" hidden="false" customHeight="false" outlineLevel="0" collapsed="false">
      <c r="A111" s="5" t="s">
        <v>376</v>
      </c>
      <c r="B111" s="5" t="s">
        <v>348</v>
      </c>
      <c r="C111" s="5"/>
      <c r="D111" s="5" t="s">
        <v>377</v>
      </c>
      <c r="E111" s="5" t="s">
        <v>378</v>
      </c>
      <c r="F111" s="5" t="s">
        <v>29</v>
      </c>
      <c r="G111" s="5"/>
      <c r="H111" s="7"/>
      <c r="I111" s="7"/>
    </row>
    <row r="112" customFormat="false" ht="23.85" hidden="false" customHeight="false" outlineLevel="0" collapsed="false">
      <c r="A112" s="5" t="s">
        <v>379</v>
      </c>
      <c r="B112" s="5" t="s">
        <v>380</v>
      </c>
      <c r="C112" s="5"/>
      <c r="D112" s="5" t="s">
        <v>381</v>
      </c>
      <c r="E112" s="5" t="s">
        <v>382</v>
      </c>
      <c r="F112" s="5" t="s">
        <v>36</v>
      </c>
      <c r="G112" s="6" t="s">
        <v>383</v>
      </c>
      <c r="H112" s="7"/>
      <c r="I112" s="7"/>
    </row>
    <row r="113" customFormat="false" ht="15" hidden="false" customHeight="false" outlineLevel="0" collapsed="false">
      <c r="A113" s="5" t="s">
        <v>384</v>
      </c>
      <c r="B113" s="5" t="s">
        <v>380</v>
      </c>
      <c r="C113" s="5"/>
      <c r="D113" s="5" t="s">
        <v>385</v>
      </c>
      <c r="E113" s="5" t="s">
        <v>386</v>
      </c>
      <c r="F113" s="5" t="s">
        <v>24</v>
      </c>
      <c r="G113" s="5"/>
      <c r="H113" s="7"/>
      <c r="I113" s="7"/>
    </row>
    <row r="114" customFormat="false" ht="15" hidden="false" customHeight="false" outlineLevel="0" collapsed="false">
      <c r="A114" s="5" t="s">
        <v>387</v>
      </c>
      <c r="B114" s="5" t="s">
        <v>380</v>
      </c>
      <c r="C114" s="5"/>
      <c r="D114" s="5" t="s">
        <v>388</v>
      </c>
      <c r="E114" s="5" t="s">
        <v>389</v>
      </c>
      <c r="F114" s="5" t="s">
        <v>24</v>
      </c>
      <c r="G114" s="5"/>
      <c r="H114" s="7"/>
      <c r="I114" s="7"/>
    </row>
    <row r="115" customFormat="false" ht="15" hidden="false" customHeight="false" outlineLevel="0" collapsed="false">
      <c r="A115" s="5" t="s">
        <v>390</v>
      </c>
      <c r="B115" s="5" t="s">
        <v>380</v>
      </c>
      <c r="C115" s="5"/>
      <c r="D115" s="5" t="s">
        <v>391</v>
      </c>
      <c r="E115" s="5" t="s">
        <v>392</v>
      </c>
      <c r="F115" s="5" t="s">
        <v>24</v>
      </c>
      <c r="G115" s="5"/>
      <c r="H115" s="7"/>
      <c r="I115" s="7"/>
    </row>
    <row r="116" customFormat="false" ht="15" hidden="false" customHeight="false" outlineLevel="0" collapsed="false">
      <c r="A116" s="5" t="s">
        <v>393</v>
      </c>
      <c r="B116" s="5" t="s">
        <v>380</v>
      </c>
      <c r="C116" s="5"/>
      <c r="D116" s="5" t="s">
        <v>394</v>
      </c>
      <c r="E116" s="5" t="s">
        <v>395</v>
      </c>
      <c r="F116" s="5" t="s">
        <v>29</v>
      </c>
      <c r="G116" s="5"/>
      <c r="H116" s="7"/>
      <c r="I116" s="7"/>
    </row>
    <row r="117" customFormat="false" ht="15" hidden="false" customHeight="false" outlineLevel="0" collapsed="false">
      <c r="A117" s="5" t="s">
        <v>396</v>
      </c>
      <c r="B117" s="5" t="s">
        <v>380</v>
      </c>
      <c r="C117" s="5"/>
      <c r="D117" s="5" t="s">
        <v>397</v>
      </c>
      <c r="E117" s="5" t="s">
        <v>398</v>
      </c>
      <c r="F117" s="5" t="s">
        <v>36</v>
      </c>
      <c r="G117" s="5"/>
      <c r="H117" s="7"/>
      <c r="I117" s="7"/>
    </row>
    <row r="118" customFormat="false" ht="15" hidden="false" customHeight="false" outlineLevel="0" collapsed="false">
      <c r="A118" s="5" t="s">
        <v>399</v>
      </c>
      <c r="B118" s="5" t="s">
        <v>380</v>
      </c>
      <c r="C118" s="5"/>
      <c r="D118" s="5" t="s">
        <v>400</v>
      </c>
      <c r="E118" s="5" t="s">
        <v>401</v>
      </c>
      <c r="F118" s="5" t="s">
        <v>24</v>
      </c>
      <c r="G118" s="5"/>
      <c r="H118" s="7"/>
      <c r="I118" s="7"/>
    </row>
    <row r="119" customFormat="false" ht="15" hidden="false" customHeight="false" outlineLevel="0" collapsed="false">
      <c r="A119" s="5" t="s">
        <v>402</v>
      </c>
      <c r="B119" s="5" t="s">
        <v>380</v>
      </c>
      <c r="C119" s="5"/>
      <c r="D119" s="5" t="s">
        <v>403</v>
      </c>
      <c r="E119" s="5" t="s">
        <v>404</v>
      </c>
      <c r="F119" s="5" t="s">
        <v>40</v>
      </c>
      <c r="G119" s="5"/>
      <c r="H119" s="7"/>
      <c r="I119" s="7"/>
    </row>
    <row r="120" customFormat="false" ht="15" hidden="false" customHeight="false" outlineLevel="0" collapsed="false">
      <c r="A120" s="5" t="s">
        <v>405</v>
      </c>
      <c r="B120" s="5" t="s">
        <v>380</v>
      </c>
      <c r="C120" s="5"/>
      <c r="D120" s="5" t="s">
        <v>406</v>
      </c>
      <c r="E120" s="5" t="s">
        <v>407</v>
      </c>
      <c r="F120" s="5" t="s">
        <v>40</v>
      </c>
      <c r="G120" s="5"/>
      <c r="H120" s="7"/>
      <c r="I120" s="7"/>
    </row>
    <row r="121" customFormat="false" ht="15" hidden="false" customHeight="false" outlineLevel="0" collapsed="false">
      <c r="A121" s="5" t="s">
        <v>408</v>
      </c>
      <c r="B121" s="5" t="s">
        <v>380</v>
      </c>
      <c r="C121" s="5"/>
      <c r="D121" s="5" t="s">
        <v>409</v>
      </c>
      <c r="E121" s="5" t="s">
        <v>410</v>
      </c>
      <c r="F121" s="5" t="s">
        <v>40</v>
      </c>
      <c r="G121" s="6" t="s">
        <v>151</v>
      </c>
      <c r="H121" s="7"/>
      <c r="I121" s="7"/>
    </row>
    <row r="122" customFormat="false" ht="15" hidden="false" customHeight="false" outlineLevel="0" collapsed="false">
      <c r="A122" s="5" t="s">
        <v>411</v>
      </c>
      <c r="B122" s="5" t="s">
        <v>412</v>
      </c>
      <c r="C122" s="5"/>
      <c r="D122" s="5" t="s">
        <v>413</v>
      </c>
      <c r="E122" s="5" t="s">
        <v>414</v>
      </c>
      <c r="F122" s="5" t="s">
        <v>150</v>
      </c>
      <c r="G122" s="5"/>
      <c r="H122" s="7"/>
      <c r="I122" s="7"/>
    </row>
    <row r="123" customFormat="false" ht="15" hidden="false" customHeight="false" outlineLevel="0" collapsed="false">
      <c r="A123" s="5" t="s">
        <v>415</v>
      </c>
      <c r="B123" s="5" t="s">
        <v>412</v>
      </c>
      <c r="C123" s="5"/>
      <c r="D123" s="5" t="s">
        <v>416</v>
      </c>
      <c r="E123" s="5" t="s">
        <v>417</v>
      </c>
      <c r="F123" s="5" t="s">
        <v>40</v>
      </c>
      <c r="G123" s="5"/>
      <c r="H123" s="7"/>
      <c r="I123" s="7"/>
    </row>
    <row r="124" customFormat="false" ht="15" hidden="false" customHeight="false" outlineLevel="0" collapsed="false">
      <c r="A124" s="5" t="s">
        <v>418</v>
      </c>
      <c r="B124" s="5" t="s">
        <v>412</v>
      </c>
      <c r="C124" s="5"/>
      <c r="D124" s="5" t="s">
        <v>419</v>
      </c>
      <c r="E124" s="5" t="s">
        <v>420</v>
      </c>
      <c r="F124" s="5" t="s">
        <v>40</v>
      </c>
      <c r="G124" s="5"/>
      <c r="H124" s="7"/>
      <c r="I124" s="7"/>
    </row>
    <row r="125" customFormat="false" ht="15" hidden="false" customHeight="false" outlineLevel="0" collapsed="false">
      <c r="A125" s="5" t="s">
        <v>421</v>
      </c>
      <c r="B125" s="5" t="s">
        <v>412</v>
      </c>
      <c r="C125" s="5"/>
      <c r="D125" s="5" t="s">
        <v>422</v>
      </c>
      <c r="E125" s="5" t="s">
        <v>423</v>
      </c>
      <c r="F125" s="5" t="s">
        <v>29</v>
      </c>
      <c r="G125" s="5"/>
      <c r="H125" s="7"/>
      <c r="I125" s="7"/>
    </row>
    <row r="126" customFormat="false" ht="23.85" hidden="false" customHeight="false" outlineLevel="0" collapsed="false">
      <c r="A126" s="5" t="s">
        <v>424</v>
      </c>
      <c r="B126" s="5" t="s">
        <v>412</v>
      </c>
      <c r="C126" s="5"/>
      <c r="D126" s="5" t="s">
        <v>425</v>
      </c>
      <c r="E126" s="5" t="s">
        <v>426</v>
      </c>
      <c r="F126" s="5" t="s">
        <v>40</v>
      </c>
      <c r="G126" s="5"/>
      <c r="H126" s="7"/>
      <c r="I126" s="7"/>
    </row>
    <row r="127" customFormat="false" ht="15" hidden="false" customHeight="false" outlineLevel="0" collapsed="false">
      <c r="A127" s="5" t="s">
        <v>427</v>
      </c>
      <c r="B127" s="5" t="s">
        <v>412</v>
      </c>
      <c r="C127" s="5"/>
      <c r="D127" s="5" t="s">
        <v>428</v>
      </c>
      <c r="E127" s="5" t="s">
        <v>429</v>
      </c>
      <c r="F127" s="5" t="s">
        <v>29</v>
      </c>
      <c r="G127" s="5"/>
      <c r="H127" s="7"/>
      <c r="I127" s="7"/>
    </row>
    <row r="128" customFormat="false" ht="15" hidden="false" customHeight="false" outlineLevel="0" collapsed="false">
      <c r="A128" s="5" t="s">
        <v>430</v>
      </c>
      <c r="B128" s="5" t="s">
        <v>412</v>
      </c>
      <c r="C128" s="5"/>
      <c r="D128" s="5" t="s">
        <v>431</v>
      </c>
      <c r="E128" s="5" t="s">
        <v>432</v>
      </c>
      <c r="F128" s="5" t="s">
        <v>36</v>
      </c>
      <c r="G128" s="5"/>
      <c r="H128" s="7"/>
      <c r="I128" s="7"/>
    </row>
    <row r="129" customFormat="false" ht="35.05" hidden="false" customHeight="false" outlineLevel="0" collapsed="false">
      <c r="A129" s="5" t="s">
        <v>433</v>
      </c>
      <c r="B129" s="5" t="s">
        <v>412</v>
      </c>
      <c r="C129" s="5"/>
      <c r="D129" s="5" t="s">
        <v>434</v>
      </c>
      <c r="E129" s="5" t="s">
        <v>435</v>
      </c>
      <c r="F129" s="5" t="s">
        <v>40</v>
      </c>
      <c r="G129" s="6" t="s">
        <v>436</v>
      </c>
      <c r="H129" s="7"/>
      <c r="I129" s="7"/>
    </row>
    <row r="130" customFormat="false" ht="15" hidden="false" customHeight="false" outlineLevel="0" collapsed="false">
      <c r="A130" s="5" t="s">
        <v>437</v>
      </c>
      <c r="B130" s="5" t="s">
        <v>412</v>
      </c>
      <c r="C130" s="5"/>
      <c r="D130" s="5" t="s">
        <v>438</v>
      </c>
      <c r="E130" s="5" t="s">
        <v>439</v>
      </c>
      <c r="F130" s="5" t="s">
        <v>24</v>
      </c>
      <c r="G130" s="5"/>
      <c r="H130" s="7"/>
      <c r="I130" s="7"/>
    </row>
    <row r="131" customFormat="false" ht="15" hidden="false" customHeight="false" outlineLevel="0" collapsed="false">
      <c r="A131" s="5" t="s">
        <v>440</v>
      </c>
      <c r="B131" s="5" t="s">
        <v>412</v>
      </c>
      <c r="C131" s="5"/>
      <c r="D131" s="5" t="s">
        <v>441</v>
      </c>
      <c r="E131" s="5" t="s">
        <v>442</v>
      </c>
      <c r="F131" s="5" t="s">
        <v>40</v>
      </c>
      <c r="G131" s="5"/>
      <c r="H131" s="7"/>
      <c r="I131" s="7"/>
    </row>
    <row r="132" customFormat="false" ht="15" hidden="false" customHeight="false" outlineLevel="0" collapsed="false">
      <c r="A132" s="5" t="s">
        <v>443</v>
      </c>
      <c r="B132" s="5" t="s">
        <v>412</v>
      </c>
      <c r="C132" s="5"/>
      <c r="D132" s="5" t="s">
        <v>444</v>
      </c>
      <c r="E132" s="5" t="s">
        <v>445</v>
      </c>
      <c r="F132" s="5" t="s">
        <v>40</v>
      </c>
      <c r="G132" s="5"/>
      <c r="H132" s="7"/>
      <c r="I132" s="7"/>
    </row>
    <row r="133" customFormat="false" ht="15" hidden="false" customHeight="false" outlineLevel="0" collapsed="false">
      <c r="A133" s="5" t="s">
        <v>446</v>
      </c>
      <c r="B133" s="5" t="s">
        <v>412</v>
      </c>
      <c r="C133" s="5"/>
      <c r="D133" s="5" t="s">
        <v>447</v>
      </c>
      <c r="E133" s="5" t="s">
        <v>448</v>
      </c>
      <c r="F133" s="5" t="s">
        <v>150</v>
      </c>
      <c r="G133" s="5"/>
      <c r="H133" s="7"/>
      <c r="I133" s="7"/>
    </row>
    <row r="134" customFormat="false" ht="15" hidden="false" customHeight="false" outlineLevel="0" collapsed="false">
      <c r="A134" s="5" t="s">
        <v>449</v>
      </c>
      <c r="B134" s="5" t="s">
        <v>412</v>
      </c>
      <c r="C134" s="5"/>
      <c r="D134" s="5" t="s">
        <v>450</v>
      </c>
      <c r="E134" s="5" t="s">
        <v>451</v>
      </c>
      <c r="F134" s="5" t="s">
        <v>150</v>
      </c>
      <c r="G134" s="5"/>
      <c r="H134" s="7"/>
      <c r="I134" s="7"/>
    </row>
    <row r="135" customFormat="false" ht="15" hidden="false" customHeight="false" outlineLevel="0" collapsed="false">
      <c r="A135" s="5" t="s">
        <v>452</v>
      </c>
      <c r="B135" s="5" t="s">
        <v>412</v>
      </c>
      <c r="C135" s="5"/>
      <c r="D135" s="5" t="s">
        <v>453</v>
      </c>
      <c r="E135" s="5" t="s">
        <v>454</v>
      </c>
      <c r="F135" s="5" t="s">
        <v>36</v>
      </c>
      <c r="G135" s="5"/>
      <c r="H135" s="7"/>
      <c r="I135" s="7"/>
    </row>
    <row r="136" customFormat="false" ht="15" hidden="false" customHeight="false" outlineLevel="0" collapsed="false">
      <c r="A136" s="5" t="s">
        <v>455</v>
      </c>
      <c r="B136" s="5" t="s">
        <v>412</v>
      </c>
      <c r="C136" s="5"/>
      <c r="D136" s="5" t="s">
        <v>456</v>
      </c>
      <c r="E136" s="5" t="s">
        <v>457</v>
      </c>
      <c r="F136" s="5" t="s">
        <v>150</v>
      </c>
      <c r="G136" s="5"/>
      <c r="H136" s="7"/>
      <c r="I136" s="7"/>
    </row>
    <row r="137" customFormat="false" ht="15" hidden="false" customHeight="false" outlineLevel="0" collapsed="false">
      <c r="A137" s="5" t="s">
        <v>458</v>
      </c>
      <c r="B137" s="5" t="s">
        <v>412</v>
      </c>
      <c r="C137" s="5"/>
      <c r="D137" s="5" t="s">
        <v>459</v>
      </c>
      <c r="E137" s="5" t="s">
        <v>460</v>
      </c>
      <c r="F137" s="5" t="s">
        <v>36</v>
      </c>
      <c r="G137" s="5"/>
      <c r="H137" s="7"/>
      <c r="I137" s="7"/>
    </row>
    <row r="138" customFormat="false" ht="15" hidden="false" customHeight="false" outlineLevel="0" collapsed="false">
      <c r="A138" s="5" t="s">
        <v>461</v>
      </c>
      <c r="B138" s="5" t="s">
        <v>412</v>
      </c>
      <c r="C138" s="5"/>
      <c r="D138" s="5" t="s">
        <v>462</v>
      </c>
      <c r="E138" s="5" t="s">
        <v>463</v>
      </c>
      <c r="F138" s="5" t="s">
        <v>40</v>
      </c>
      <c r="G138" s="6" t="s">
        <v>151</v>
      </c>
      <c r="H138" s="7"/>
      <c r="I138" s="7"/>
    </row>
    <row r="139" customFormat="false" ht="15" hidden="false" customHeight="false" outlineLevel="0" collapsed="false">
      <c r="A139" s="5" t="s">
        <v>464</v>
      </c>
      <c r="B139" s="5" t="s">
        <v>412</v>
      </c>
      <c r="C139" s="5"/>
      <c r="D139" s="5" t="s">
        <v>465</v>
      </c>
      <c r="E139" s="5" t="s">
        <v>466</v>
      </c>
      <c r="F139" s="5" t="s">
        <v>24</v>
      </c>
      <c r="G139" s="5"/>
      <c r="H139" s="7"/>
      <c r="I139" s="7"/>
    </row>
    <row r="140" customFormat="false" ht="15" hidden="false" customHeight="false" outlineLevel="0" collapsed="false">
      <c r="A140" s="5" t="s">
        <v>467</v>
      </c>
      <c r="B140" s="5" t="s">
        <v>412</v>
      </c>
      <c r="C140" s="5"/>
      <c r="D140" s="5" t="s">
        <v>468</v>
      </c>
      <c r="E140" s="5" t="s">
        <v>469</v>
      </c>
      <c r="F140" s="5" t="s">
        <v>29</v>
      </c>
      <c r="G140" s="5"/>
      <c r="H140" s="7"/>
      <c r="I140" s="7"/>
    </row>
    <row r="141" customFormat="false" ht="15" hidden="false" customHeight="false" outlineLevel="0" collapsed="false">
      <c r="A141" s="5" t="s">
        <v>470</v>
      </c>
      <c r="B141" s="5" t="s">
        <v>412</v>
      </c>
      <c r="C141" s="5"/>
      <c r="D141" s="5" t="s">
        <v>471</v>
      </c>
      <c r="E141" s="5" t="s">
        <v>472</v>
      </c>
      <c r="F141" s="5" t="s">
        <v>40</v>
      </c>
      <c r="G141" s="5"/>
      <c r="H141" s="7"/>
      <c r="I141" s="7"/>
    </row>
    <row r="142" customFormat="false" ht="15" hidden="false" customHeight="false" outlineLevel="0" collapsed="false">
      <c r="A142" s="5" t="s">
        <v>473</v>
      </c>
      <c r="B142" s="5" t="s">
        <v>412</v>
      </c>
      <c r="C142" s="5"/>
      <c r="D142" s="5" t="s">
        <v>474</v>
      </c>
      <c r="E142" s="5" t="s">
        <v>475</v>
      </c>
      <c r="F142" s="5" t="s">
        <v>47</v>
      </c>
      <c r="G142" s="6" t="s">
        <v>476</v>
      </c>
      <c r="H142" s="7"/>
      <c r="I142" s="7"/>
    </row>
    <row r="143" customFormat="false" ht="15" hidden="false" customHeight="false" outlineLevel="0" collapsed="false">
      <c r="A143" s="5" t="s">
        <v>477</v>
      </c>
      <c r="B143" s="5" t="s">
        <v>412</v>
      </c>
      <c r="C143" s="5"/>
      <c r="D143" s="5" t="s">
        <v>478</v>
      </c>
      <c r="E143" s="5" t="s">
        <v>479</v>
      </c>
      <c r="F143" s="5" t="s">
        <v>29</v>
      </c>
      <c r="G143" s="5"/>
      <c r="H143" s="7"/>
      <c r="I143" s="7"/>
    </row>
    <row r="144" customFormat="false" ht="15" hidden="false" customHeight="false" outlineLevel="0" collapsed="false">
      <c r="A144" s="5" t="s">
        <v>480</v>
      </c>
      <c r="B144" s="5" t="s">
        <v>412</v>
      </c>
      <c r="C144" s="5"/>
      <c r="D144" s="5" t="s">
        <v>481</v>
      </c>
      <c r="E144" s="5" t="s">
        <v>482</v>
      </c>
      <c r="F144" s="5" t="s">
        <v>29</v>
      </c>
      <c r="G144" s="5"/>
      <c r="H144" s="7"/>
      <c r="I144" s="7"/>
    </row>
    <row r="145" customFormat="false" ht="15" hidden="false" customHeight="false" outlineLevel="0" collapsed="false">
      <c r="A145" s="5" t="s">
        <v>483</v>
      </c>
      <c r="B145" s="5" t="s">
        <v>412</v>
      </c>
      <c r="C145" s="5"/>
      <c r="D145" s="5" t="s">
        <v>484</v>
      </c>
      <c r="E145" s="5" t="s">
        <v>485</v>
      </c>
      <c r="F145" s="5" t="s">
        <v>40</v>
      </c>
      <c r="G145" s="5"/>
      <c r="H145" s="7"/>
      <c r="I145" s="7"/>
    </row>
    <row r="146" customFormat="false" ht="15" hidden="false" customHeight="false" outlineLevel="0" collapsed="false">
      <c r="A146" s="5" t="s">
        <v>486</v>
      </c>
      <c r="B146" s="5" t="s">
        <v>412</v>
      </c>
      <c r="C146" s="5"/>
      <c r="D146" s="5" t="s">
        <v>487</v>
      </c>
      <c r="E146" s="5" t="s">
        <v>488</v>
      </c>
      <c r="F146" s="5" t="s">
        <v>150</v>
      </c>
      <c r="G146" s="5"/>
      <c r="H146" s="7"/>
      <c r="I146" s="7"/>
    </row>
    <row r="147" customFormat="false" ht="15" hidden="false" customHeight="false" outlineLevel="0" collapsed="false">
      <c r="A147" s="5" t="s">
        <v>489</v>
      </c>
      <c r="B147" s="5" t="s">
        <v>412</v>
      </c>
      <c r="C147" s="5"/>
      <c r="D147" s="5" t="s">
        <v>490</v>
      </c>
      <c r="E147" s="5" t="s">
        <v>491</v>
      </c>
      <c r="F147" s="5" t="s">
        <v>40</v>
      </c>
      <c r="G147" s="5"/>
      <c r="H147" s="7"/>
      <c r="I147" s="7"/>
    </row>
    <row r="148" customFormat="false" ht="15" hidden="false" customHeight="false" outlineLevel="0" collapsed="false">
      <c r="A148" s="5" t="s">
        <v>492</v>
      </c>
      <c r="B148" s="5" t="s">
        <v>412</v>
      </c>
      <c r="C148" s="5"/>
      <c r="D148" s="5" t="s">
        <v>493</v>
      </c>
      <c r="E148" s="5" t="s">
        <v>494</v>
      </c>
      <c r="F148" s="5" t="s">
        <v>29</v>
      </c>
      <c r="G148" s="5"/>
      <c r="H148" s="7"/>
      <c r="I148" s="7"/>
    </row>
    <row r="149" customFormat="false" ht="15" hidden="false" customHeight="false" outlineLevel="0" collapsed="false">
      <c r="A149" s="5" t="s">
        <v>495</v>
      </c>
      <c r="B149" s="5" t="s">
        <v>412</v>
      </c>
      <c r="C149" s="5"/>
      <c r="D149" s="5" t="s">
        <v>496</v>
      </c>
      <c r="E149" s="5" t="s">
        <v>497</v>
      </c>
      <c r="F149" s="5" t="s">
        <v>150</v>
      </c>
      <c r="G149" s="5"/>
      <c r="H149" s="7"/>
      <c r="I149" s="7"/>
    </row>
    <row r="150" customFormat="false" ht="15" hidden="false" customHeight="false" outlineLevel="0" collapsed="false">
      <c r="A150" s="5" t="s">
        <v>498</v>
      </c>
      <c r="B150" s="5" t="s">
        <v>412</v>
      </c>
      <c r="C150" s="5"/>
      <c r="D150" s="5" t="s">
        <v>499</v>
      </c>
      <c r="E150" s="5" t="s">
        <v>500</v>
      </c>
      <c r="F150" s="5" t="s">
        <v>36</v>
      </c>
      <c r="G150" s="6" t="s">
        <v>171</v>
      </c>
      <c r="H150" s="7"/>
      <c r="I150" s="7"/>
    </row>
    <row r="151" customFormat="false" ht="15" hidden="false" customHeight="false" outlineLevel="0" collapsed="false">
      <c r="A151" s="5" t="s">
        <v>501</v>
      </c>
      <c r="B151" s="5" t="s">
        <v>412</v>
      </c>
      <c r="C151" s="5"/>
      <c r="D151" s="5" t="s">
        <v>502</v>
      </c>
      <c r="E151" s="5" t="s">
        <v>503</v>
      </c>
      <c r="F151" s="5" t="s">
        <v>150</v>
      </c>
      <c r="G151" s="5"/>
      <c r="H151" s="7"/>
      <c r="I151" s="7"/>
    </row>
    <row r="152" customFormat="false" ht="15" hidden="false" customHeight="false" outlineLevel="0" collapsed="false">
      <c r="A152" s="5" t="s">
        <v>504</v>
      </c>
      <c r="B152" s="5" t="s">
        <v>505</v>
      </c>
      <c r="C152" s="5"/>
      <c r="D152" s="5" t="s">
        <v>506</v>
      </c>
      <c r="E152" s="5" t="s">
        <v>507</v>
      </c>
      <c r="F152" s="5" t="s">
        <v>29</v>
      </c>
      <c r="G152" s="5"/>
      <c r="H152" s="7"/>
      <c r="I152" s="7"/>
    </row>
    <row r="153" customFormat="false" ht="15" hidden="false" customHeight="false" outlineLevel="0" collapsed="false">
      <c r="A153" s="5" t="s">
        <v>508</v>
      </c>
      <c r="B153" s="5" t="s">
        <v>505</v>
      </c>
      <c r="C153" s="5"/>
      <c r="D153" s="5" t="s">
        <v>509</v>
      </c>
      <c r="E153" s="5" t="s">
        <v>510</v>
      </c>
      <c r="F153" s="5" t="s">
        <v>29</v>
      </c>
      <c r="G153" s="6" t="s">
        <v>511</v>
      </c>
      <c r="H153" s="7"/>
      <c r="I153" s="7"/>
    </row>
    <row r="154" customFormat="false" ht="15" hidden="false" customHeight="false" outlineLevel="0" collapsed="false">
      <c r="A154" s="5" t="s">
        <v>512</v>
      </c>
      <c r="B154" s="5" t="s">
        <v>505</v>
      </c>
      <c r="C154" s="5"/>
      <c r="D154" s="5" t="s">
        <v>513</v>
      </c>
      <c r="E154" s="5" t="s">
        <v>514</v>
      </c>
      <c r="F154" s="5" t="s">
        <v>24</v>
      </c>
      <c r="G154" s="5"/>
      <c r="H154" s="7"/>
      <c r="I154" s="7"/>
    </row>
    <row r="155" customFormat="false" ht="15" hidden="false" customHeight="false" outlineLevel="0" collapsed="false">
      <c r="A155" s="5" t="s">
        <v>515</v>
      </c>
      <c r="B155" s="5" t="s">
        <v>505</v>
      </c>
      <c r="C155" s="5"/>
      <c r="D155" s="5" t="s">
        <v>516</v>
      </c>
      <c r="E155" s="5" t="s">
        <v>517</v>
      </c>
      <c r="F155" s="5" t="s">
        <v>47</v>
      </c>
      <c r="G155" s="5"/>
      <c r="H155" s="7"/>
      <c r="I155" s="7"/>
    </row>
    <row r="156" customFormat="false" ht="15" hidden="false" customHeight="false" outlineLevel="0" collapsed="false">
      <c r="A156" s="5" t="s">
        <v>518</v>
      </c>
      <c r="B156" s="5" t="s">
        <v>505</v>
      </c>
      <c r="C156" s="5"/>
      <c r="D156" s="5" t="s">
        <v>519</v>
      </c>
      <c r="E156" s="5" t="s">
        <v>520</v>
      </c>
      <c r="F156" s="5" t="s">
        <v>29</v>
      </c>
      <c r="G156" s="5"/>
      <c r="H156" s="7"/>
      <c r="I156" s="7"/>
    </row>
    <row r="157" customFormat="false" ht="15" hidden="false" customHeight="false" outlineLevel="0" collapsed="false">
      <c r="A157" s="5" t="s">
        <v>521</v>
      </c>
      <c r="B157" s="5" t="s">
        <v>505</v>
      </c>
      <c r="C157" s="5"/>
      <c r="D157" s="5" t="s">
        <v>522</v>
      </c>
      <c r="E157" s="5" t="s">
        <v>523</v>
      </c>
      <c r="F157" s="5" t="s">
        <v>36</v>
      </c>
      <c r="G157" s="5"/>
      <c r="H157" s="7"/>
      <c r="I157" s="7"/>
    </row>
    <row r="158" customFormat="false" ht="15" hidden="false" customHeight="false" outlineLevel="0" collapsed="false">
      <c r="A158" s="5" t="s">
        <v>524</v>
      </c>
      <c r="B158" s="5" t="s">
        <v>505</v>
      </c>
      <c r="C158" s="5"/>
      <c r="D158" s="5" t="s">
        <v>525</v>
      </c>
      <c r="E158" s="5" t="s">
        <v>526</v>
      </c>
      <c r="F158" s="5" t="s">
        <v>24</v>
      </c>
      <c r="G158" s="6" t="s">
        <v>527</v>
      </c>
      <c r="H158" s="7"/>
      <c r="I158" s="7"/>
    </row>
    <row r="159" customFormat="false" ht="15" hidden="false" customHeight="false" outlineLevel="0" collapsed="false">
      <c r="A159" s="5" t="s">
        <v>528</v>
      </c>
      <c r="B159" s="5" t="s">
        <v>505</v>
      </c>
      <c r="C159" s="5"/>
      <c r="D159" s="5" t="s">
        <v>529</v>
      </c>
      <c r="E159" s="5" t="s">
        <v>530</v>
      </c>
      <c r="F159" s="5" t="s">
        <v>29</v>
      </c>
      <c r="G159" s="5"/>
      <c r="H159" s="7"/>
      <c r="I159" s="7"/>
    </row>
    <row r="160" customFormat="false" ht="23.85" hidden="false" customHeight="false" outlineLevel="0" collapsed="false">
      <c r="A160" s="5" t="s">
        <v>531</v>
      </c>
      <c r="B160" s="5" t="s">
        <v>505</v>
      </c>
      <c r="C160" s="5"/>
      <c r="D160" s="5" t="s">
        <v>532</v>
      </c>
      <c r="E160" s="5" t="s">
        <v>533</v>
      </c>
      <c r="F160" s="5" t="s">
        <v>29</v>
      </c>
      <c r="G160" s="6" t="s">
        <v>534</v>
      </c>
      <c r="H160" s="7"/>
      <c r="I160" s="7"/>
    </row>
    <row r="161" customFormat="false" ht="15" hidden="false" customHeight="false" outlineLevel="0" collapsed="false">
      <c r="A161" s="5" t="s">
        <v>535</v>
      </c>
      <c r="B161" s="5" t="s">
        <v>505</v>
      </c>
      <c r="C161" s="5"/>
      <c r="D161" s="5" t="s">
        <v>536</v>
      </c>
      <c r="E161" s="5" t="s">
        <v>537</v>
      </c>
      <c r="F161" s="5" t="s">
        <v>47</v>
      </c>
      <c r="G161" s="5"/>
      <c r="H161" s="7"/>
      <c r="I161" s="7"/>
    </row>
    <row r="162" customFormat="false" ht="15" hidden="false" customHeight="false" outlineLevel="0" collapsed="false">
      <c r="A162" s="5" t="s">
        <v>538</v>
      </c>
      <c r="B162" s="5" t="s">
        <v>505</v>
      </c>
      <c r="C162" s="5"/>
      <c r="D162" s="5" t="s">
        <v>539</v>
      </c>
      <c r="E162" s="5" t="s">
        <v>540</v>
      </c>
      <c r="F162" s="5" t="s">
        <v>47</v>
      </c>
      <c r="G162" s="5"/>
      <c r="H162" s="7"/>
      <c r="I162" s="7"/>
    </row>
    <row r="163" customFormat="false" ht="15" hidden="false" customHeight="false" outlineLevel="0" collapsed="false">
      <c r="A163" s="5" t="s">
        <v>541</v>
      </c>
      <c r="B163" s="5" t="s">
        <v>505</v>
      </c>
      <c r="C163" s="5"/>
      <c r="D163" s="5" t="s">
        <v>542</v>
      </c>
      <c r="E163" s="5" t="s">
        <v>543</v>
      </c>
      <c r="F163" s="5" t="s">
        <v>40</v>
      </c>
      <c r="G163" s="5"/>
      <c r="H163" s="7"/>
      <c r="I163" s="7"/>
    </row>
    <row r="164" customFormat="false" ht="15" hidden="false" customHeight="false" outlineLevel="0" collapsed="false">
      <c r="A164" s="5" t="s">
        <v>544</v>
      </c>
      <c r="B164" s="5" t="s">
        <v>505</v>
      </c>
      <c r="C164" s="5"/>
      <c r="D164" s="5" t="s">
        <v>545</v>
      </c>
      <c r="E164" s="5" t="s">
        <v>546</v>
      </c>
      <c r="F164" s="5" t="s">
        <v>29</v>
      </c>
      <c r="G164" s="5"/>
      <c r="H164" s="7"/>
      <c r="I164" s="7"/>
    </row>
    <row r="165" customFormat="false" ht="15" hidden="false" customHeight="false" outlineLevel="0" collapsed="false">
      <c r="A165" s="5" t="s">
        <v>547</v>
      </c>
      <c r="B165" s="5" t="s">
        <v>505</v>
      </c>
      <c r="C165" s="5"/>
      <c r="D165" s="5" t="s">
        <v>548</v>
      </c>
      <c r="E165" s="5" t="s">
        <v>549</v>
      </c>
      <c r="F165" s="5" t="s">
        <v>150</v>
      </c>
      <c r="G165" s="5"/>
      <c r="H165" s="7"/>
      <c r="I165" s="7"/>
    </row>
    <row r="166" customFormat="false" ht="15" hidden="false" customHeight="false" outlineLevel="0" collapsed="false">
      <c r="A166" s="5" t="s">
        <v>550</v>
      </c>
      <c r="B166" s="5" t="s">
        <v>505</v>
      </c>
      <c r="C166" s="5"/>
      <c r="D166" s="5" t="s">
        <v>551</v>
      </c>
      <c r="E166" s="5" t="s">
        <v>552</v>
      </c>
      <c r="F166" s="5" t="s">
        <v>40</v>
      </c>
      <c r="G166" s="6" t="s">
        <v>553</v>
      </c>
      <c r="H166" s="7"/>
      <c r="I166" s="7"/>
    </row>
    <row r="167" customFormat="false" ht="15" hidden="false" customHeight="false" outlineLevel="0" collapsed="false">
      <c r="A167" s="5" t="s">
        <v>554</v>
      </c>
      <c r="B167" s="5" t="s">
        <v>505</v>
      </c>
      <c r="C167" s="5"/>
      <c r="D167" s="5" t="s">
        <v>555</v>
      </c>
      <c r="E167" s="5" t="s">
        <v>556</v>
      </c>
      <c r="F167" s="5" t="s">
        <v>40</v>
      </c>
      <c r="G167" s="5"/>
      <c r="H167" s="7"/>
      <c r="I167" s="7"/>
    </row>
    <row r="168" customFormat="false" ht="15" hidden="false" customHeight="false" outlineLevel="0" collapsed="false">
      <c r="A168" s="5" t="s">
        <v>557</v>
      </c>
      <c r="B168" s="5" t="s">
        <v>505</v>
      </c>
      <c r="C168" s="5"/>
      <c r="D168" s="5" t="s">
        <v>558</v>
      </c>
      <c r="E168" s="5" t="s">
        <v>559</v>
      </c>
      <c r="F168" s="5" t="s">
        <v>40</v>
      </c>
      <c r="G168" s="5"/>
      <c r="H168" s="7"/>
      <c r="I168" s="7"/>
    </row>
    <row r="169" customFormat="false" ht="15" hidden="false" customHeight="false" outlineLevel="0" collapsed="false">
      <c r="A169" s="5" t="s">
        <v>560</v>
      </c>
      <c r="B169" s="5" t="s">
        <v>505</v>
      </c>
      <c r="C169" s="5"/>
      <c r="D169" s="5" t="s">
        <v>561</v>
      </c>
      <c r="E169" s="5" t="s">
        <v>562</v>
      </c>
      <c r="F169" s="5" t="s">
        <v>40</v>
      </c>
      <c r="G169" s="6" t="s">
        <v>563</v>
      </c>
      <c r="H169" s="7"/>
      <c r="I169" s="7"/>
    </row>
    <row r="170" customFormat="false" ht="15" hidden="false" customHeight="false" outlineLevel="0" collapsed="false">
      <c r="A170" s="5" t="s">
        <v>564</v>
      </c>
      <c r="B170" s="5" t="s">
        <v>505</v>
      </c>
      <c r="C170" s="5"/>
      <c r="D170" s="5" t="s">
        <v>565</v>
      </c>
      <c r="E170" s="5" t="s">
        <v>566</v>
      </c>
      <c r="F170" s="5" t="s">
        <v>24</v>
      </c>
      <c r="G170" s="6" t="s">
        <v>527</v>
      </c>
      <c r="H170" s="7"/>
      <c r="I170" s="7"/>
    </row>
    <row r="171" customFormat="false" ht="15" hidden="false" customHeight="false" outlineLevel="0" collapsed="false">
      <c r="A171" s="5" t="s">
        <v>567</v>
      </c>
      <c r="B171" s="5" t="s">
        <v>505</v>
      </c>
      <c r="C171" s="5"/>
      <c r="D171" s="5" t="s">
        <v>568</v>
      </c>
      <c r="E171" s="5" t="s">
        <v>569</v>
      </c>
      <c r="F171" s="5" t="s">
        <v>24</v>
      </c>
      <c r="G171" s="5"/>
      <c r="H171" s="7"/>
      <c r="I171" s="7"/>
    </row>
    <row r="172" customFormat="false" ht="15" hidden="false" customHeight="false" outlineLevel="0" collapsed="false">
      <c r="A172" s="5" t="s">
        <v>570</v>
      </c>
      <c r="B172" s="5" t="s">
        <v>505</v>
      </c>
      <c r="C172" s="5"/>
      <c r="D172" s="5" t="s">
        <v>571</v>
      </c>
      <c r="E172" s="5" t="s">
        <v>572</v>
      </c>
      <c r="F172" s="5" t="s">
        <v>29</v>
      </c>
      <c r="G172" s="5"/>
      <c r="H172" s="7"/>
      <c r="I172" s="7"/>
    </row>
    <row r="173" customFormat="false" ht="15" hidden="false" customHeight="false" outlineLevel="0" collapsed="false">
      <c r="A173" s="5" t="s">
        <v>573</v>
      </c>
      <c r="B173" s="5" t="s">
        <v>505</v>
      </c>
      <c r="C173" s="5"/>
      <c r="D173" s="5" t="s">
        <v>574</v>
      </c>
      <c r="E173" s="5" t="s">
        <v>575</v>
      </c>
      <c r="F173" s="5" t="s">
        <v>24</v>
      </c>
      <c r="G173" s="5"/>
      <c r="H173" s="7"/>
      <c r="I173" s="7"/>
    </row>
    <row r="174" customFormat="false" ht="15" hidden="false" customHeight="false" outlineLevel="0" collapsed="false">
      <c r="A174" s="5" t="s">
        <v>576</v>
      </c>
      <c r="B174" s="5" t="s">
        <v>505</v>
      </c>
      <c r="C174" s="5"/>
      <c r="D174" s="5" t="s">
        <v>577</v>
      </c>
      <c r="E174" s="5" t="s">
        <v>578</v>
      </c>
      <c r="F174" s="5" t="s">
        <v>47</v>
      </c>
      <c r="G174" s="5"/>
      <c r="H174" s="7"/>
      <c r="I174" s="7"/>
    </row>
    <row r="175" customFormat="false" ht="15" hidden="false" customHeight="false" outlineLevel="0" collapsed="false">
      <c r="A175" s="5" t="s">
        <v>579</v>
      </c>
      <c r="B175" s="5" t="s">
        <v>505</v>
      </c>
      <c r="C175" s="5"/>
      <c r="D175" s="5" t="s">
        <v>580</v>
      </c>
      <c r="E175" s="5" t="s">
        <v>581</v>
      </c>
      <c r="F175" s="5" t="s">
        <v>24</v>
      </c>
      <c r="G175" s="5"/>
      <c r="H175" s="7"/>
      <c r="I175" s="7"/>
    </row>
    <row r="176" customFormat="false" ht="15" hidden="false" customHeight="false" outlineLevel="0" collapsed="false">
      <c r="A176" s="5" t="s">
        <v>582</v>
      </c>
      <c r="B176" s="5" t="s">
        <v>505</v>
      </c>
      <c r="C176" s="5"/>
      <c r="D176" s="5" t="s">
        <v>583</v>
      </c>
      <c r="E176" s="5" t="s">
        <v>584</v>
      </c>
      <c r="F176" s="5" t="s">
        <v>29</v>
      </c>
      <c r="G176" s="6" t="s">
        <v>511</v>
      </c>
      <c r="H176" s="7"/>
      <c r="I176" s="7"/>
    </row>
    <row r="177" customFormat="false" ht="15" hidden="false" customHeight="false" outlineLevel="0" collapsed="false">
      <c r="A177" s="5" t="s">
        <v>585</v>
      </c>
      <c r="B177" s="5" t="s">
        <v>505</v>
      </c>
      <c r="C177" s="5"/>
      <c r="D177" s="5" t="s">
        <v>586</v>
      </c>
      <c r="E177" s="5" t="s">
        <v>587</v>
      </c>
      <c r="F177" s="5" t="s">
        <v>36</v>
      </c>
      <c r="G177" s="5"/>
      <c r="H177" s="7"/>
      <c r="I177" s="7"/>
    </row>
    <row r="178" customFormat="false" ht="15" hidden="false" customHeight="false" outlineLevel="0" collapsed="false">
      <c r="A178" s="5" t="s">
        <v>588</v>
      </c>
      <c r="B178" s="5" t="s">
        <v>505</v>
      </c>
      <c r="C178" s="5"/>
      <c r="D178" s="5" t="s">
        <v>589</v>
      </c>
      <c r="E178" s="5" t="s">
        <v>590</v>
      </c>
      <c r="F178" s="5" t="s">
        <v>40</v>
      </c>
      <c r="G178" s="5"/>
      <c r="H178" s="7"/>
      <c r="I178" s="7"/>
    </row>
    <row r="179" customFormat="false" ht="15" hidden="false" customHeight="false" outlineLevel="0" collapsed="false">
      <c r="A179" s="5" t="s">
        <v>591</v>
      </c>
      <c r="B179" s="5" t="s">
        <v>505</v>
      </c>
      <c r="C179" s="5"/>
      <c r="D179" s="5" t="s">
        <v>592</v>
      </c>
      <c r="E179" s="5" t="s">
        <v>593</v>
      </c>
      <c r="F179" s="5" t="s">
        <v>24</v>
      </c>
      <c r="G179" s="5"/>
      <c r="H179" s="7"/>
      <c r="I179" s="7"/>
    </row>
    <row r="180" customFormat="false" ht="15" hidden="false" customHeight="false" outlineLevel="0" collapsed="false">
      <c r="A180" s="5" t="s">
        <v>594</v>
      </c>
      <c r="B180" s="5" t="s">
        <v>505</v>
      </c>
      <c r="C180" s="5"/>
      <c r="D180" s="5" t="s">
        <v>595</v>
      </c>
      <c r="E180" s="5" t="s">
        <v>596</v>
      </c>
      <c r="F180" s="5" t="s">
        <v>40</v>
      </c>
      <c r="G180" s="5"/>
      <c r="H180" s="7"/>
      <c r="I180" s="7"/>
    </row>
    <row r="181" customFormat="false" ht="15" hidden="false" customHeight="false" outlineLevel="0" collapsed="false">
      <c r="A181" s="5" t="s">
        <v>597</v>
      </c>
      <c r="B181" s="5" t="s">
        <v>505</v>
      </c>
      <c r="C181" s="5"/>
      <c r="D181" s="5" t="s">
        <v>598</v>
      </c>
      <c r="E181" s="5" t="s">
        <v>599</v>
      </c>
      <c r="F181" s="5" t="s">
        <v>24</v>
      </c>
      <c r="G181" s="5"/>
      <c r="H181" s="7"/>
      <c r="I181" s="7"/>
    </row>
    <row r="182" customFormat="false" ht="23.85" hidden="false" customHeight="false" outlineLevel="0" collapsed="false">
      <c r="A182" s="5" t="s">
        <v>600</v>
      </c>
      <c r="B182" s="5" t="s">
        <v>601</v>
      </c>
      <c r="C182" s="5"/>
      <c r="D182" s="5" t="s">
        <v>602</v>
      </c>
      <c r="E182" s="5" t="s">
        <v>603</v>
      </c>
      <c r="F182" s="5" t="s">
        <v>40</v>
      </c>
      <c r="G182" s="6" t="s">
        <v>383</v>
      </c>
      <c r="H182" s="7"/>
      <c r="I182" s="7"/>
    </row>
    <row r="183" customFormat="false" ht="15" hidden="false" customHeight="false" outlineLevel="0" collapsed="false">
      <c r="A183" s="5" t="s">
        <v>604</v>
      </c>
      <c r="B183" s="5" t="s">
        <v>601</v>
      </c>
      <c r="C183" s="5"/>
      <c r="D183" s="5" t="s">
        <v>605</v>
      </c>
      <c r="E183" s="5" t="s">
        <v>606</v>
      </c>
      <c r="F183" s="5" t="s">
        <v>24</v>
      </c>
      <c r="G183" s="5"/>
      <c r="H183" s="7"/>
      <c r="I183" s="7"/>
    </row>
    <row r="184" customFormat="false" ht="15" hidden="false" customHeight="false" outlineLevel="0" collapsed="false">
      <c r="A184" s="5" t="s">
        <v>607</v>
      </c>
      <c r="B184" s="5" t="s">
        <v>601</v>
      </c>
      <c r="C184" s="5"/>
      <c r="D184" s="5" t="s">
        <v>608</v>
      </c>
      <c r="E184" s="5" t="s">
        <v>609</v>
      </c>
      <c r="F184" s="5" t="s">
        <v>36</v>
      </c>
      <c r="G184" s="5"/>
      <c r="H184" s="7"/>
      <c r="I184" s="7"/>
    </row>
    <row r="185" customFormat="false" ht="15" hidden="false" customHeight="false" outlineLevel="0" collapsed="false">
      <c r="A185" s="5" t="s">
        <v>610</v>
      </c>
      <c r="B185" s="5" t="s">
        <v>601</v>
      </c>
      <c r="C185" s="5"/>
      <c r="D185" s="5" t="s">
        <v>611</v>
      </c>
      <c r="E185" s="5" t="s">
        <v>612</v>
      </c>
      <c r="F185" s="5" t="s">
        <v>47</v>
      </c>
      <c r="G185" s="5"/>
      <c r="H185" s="7"/>
      <c r="I185" s="7"/>
    </row>
    <row r="186" customFormat="false" ht="15" hidden="false" customHeight="false" outlineLevel="0" collapsed="false">
      <c r="A186" s="5" t="s">
        <v>613</v>
      </c>
      <c r="B186" s="5" t="s">
        <v>601</v>
      </c>
      <c r="C186" s="5"/>
      <c r="D186" s="5" t="s">
        <v>614</v>
      </c>
      <c r="E186" s="5" t="s">
        <v>615</v>
      </c>
      <c r="F186" s="5" t="s">
        <v>24</v>
      </c>
      <c r="G186" s="5"/>
      <c r="H186" s="7"/>
      <c r="I186" s="7"/>
    </row>
    <row r="187" customFormat="false" ht="15" hidden="false" customHeight="false" outlineLevel="0" collapsed="false">
      <c r="A187" s="5" t="s">
        <v>616</v>
      </c>
      <c r="B187" s="5" t="s">
        <v>601</v>
      </c>
      <c r="C187" s="5"/>
      <c r="D187" s="5" t="s">
        <v>617</v>
      </c>
      <c r="E187" s="5" t="s">
        <v>618</v>
      </c>
      <c r="F187" s="5" t="s">
        <v>40</v>
      </c>
      <c r="G187" s="5"/>
      <c r="H187" s="7"/>
      <c r="I187" s="7"/>
    </row>
    <row r="188" customFormat="false" ht="15" hidden="false" customHeight="false" outlineLevel="0" collapsed="false">
      <c r="A188" s="5" t="s">
        <v>619</v>
      </c>
      <c r="B188" s="5" t="s">
        <v>601</v>
      </c>
      <c r="C188" s="5"/>
      <c r="D188" s="5" t="s">
        <v>620</v>
      </c>
      <c r="E188" s="5" t="s">
        <v>621</v>
      </c>
      <c r="F188" s="5" t="s">
        <v>24</v>
      </c>
      <c r="G188" s="5"/>
      <c r="H188" s="7"/>
      <c r="I188" s="7"/>
    </row>
    <row r="189" customFormat="false" ht="15" hidden="false" customHeight="false" outlineLevel="0" collapsed="false">
      <c r="A189" s="5" t="s">
        <v>622</v>
      </c>
      <c r="B189" s="5" t="s">
        <v>601</v>
      </c>
      <c r="C189" s="5"/>
      <c r="D189" s="5" t="s">
        <v>623</v>
      </c>
      <c r="E189" s="5" t="s">
        <v>624</v>
      </c>
      <c r="F189" s="5" t="s">
        <v>24</v>
      </c>
      <c r="G189" s="5"/>
      <c r="H189" s="7"/>
      <c r="I189" s="7"/>
    </row>
    <row r="190" customFormat="false" ht="15" hidden="false" customHeight="false" outlineLevel="0" collapsed="false">
      <c r="A190" s="5" t="s">
        <v>625</v>
      </c>
      <c r="B190" s="5" t="s">
        <v>601</v>
      </c>
      <c r="C190" s="5"/>
      <c r="D190" s="5" t="s">
        <v>626</v>
      </c>
      <c r="E190" s="5" t="s">
        <v>627</v>
      </c>
      <c r="F190" s="5" t="s">
        <v>36</v>
      </c>
      <c r="G190" s="5"/>
      <c r="H190" s="7"/>
      <c r="I190" s="7"/>
    </row>
    <row r="191" customFormat="false" ht="15" hidden="false" customHeight="false" outlineLevel="0" collapsed="false">
      <c r="A191" s="5" t="s">
        <v>628</v>
      </c>
      <c r="B191" s="5" t="s">
        <v>601</v>
      </c>
      <c r="C191" s="5"/>
      <c r="D191" s="5" t="s">
        <v>629</v>
      </c>
      <c r="E191" s="5" t="s">
        <v>630</v>
      </c>
      <c r="F191" s="5" t="s">
        <v>24</v>
      </c>
      <c r="G191" s="6" t="s">
        <v>171</v>
      </c>
      <c r="H191" s="7"/>
      <c r="I191" s="7"/>
    </row>
    <row r="192" customFormat="false" ht="15" hidden="false" customHeight="false" outlineLevel="0" collapsed="false">
      <c r="A192" s="5" t="s">
        <v>631</v>
      </c>
      <c r="B192" s="5" t="s">
        <v>632</v>
      </c>
      <c r="C192" s="5"/>
      <c r="D192" s="5" t="s">
        <v>633</v>
      </c>
      <c r="E192" s="5" t="s">
        <v>634</v>
      </c>
      <c r="F192" s="5" t="s">
        <v>150</v>
      </c>
      <c r="G192" s="5"/>
      <c r="H192" s="7"/>
      <c r="I192" s="7"/>
    </row>
    <row r="193" customFormat="false" ht="15" hidden="false" customHeight="false" outlineLevel="0" collapsed="false">
      <c r="A193" s="5" t="s">
        <v>635</v>
      </c>
      <c r="B193" s="5" t="s">
        <v>632</v>
      </c>
      <c r="C193" s="5"/>
      <c r="D193" s="5" t="s">
        <v>636</v>
      </c>
      <c r="E193" s="5" t="s">
        <v>637</v>
      </c>
      <c r="F193" s="5" t="s">
        <v>24</v>
      </c>
      <c r="G193" s="5"/>
      <c r="H193" s="7"/>
      <c r="I193" s="7"/>
    </row>
    <row r="194" customFormat="false" ht="15" hidden="false" customHeight="false" outlineLevel="0" collapsed="false">
      <c r="A194" s="5" t="s">
        <v>638</v>
      </c>
      <c r="B194" s="5" t="s">
        <v>632</v>
      </c>
      <c r="C194" s="5"/>
      <c r="D194" s="5" t="s">
        <v>639</v>
      </c>
      <c r="E194" s="5" t="s">
        <v>640</v>
      </c>
      <c r="F194" s="5" t="s">
        <v>29</v>
      </c>
      <c r="G194" s="5"/>
      <c r="H194" s="7"/>
      <c r="I194" s="7"/>
    </row>
    <row r="195" customFormat="false" ht="15" hidden="false" customHeight="false" outlineLevel="0" collapsed="false">
      <c r="A195" s="5" t="s">
        <v>641</v>
      </c>
      <c r="B195" s="5" t="s">
        <v>632</v>
      </c>
      <c r="C195" s="5"/>
      <c r="D195" s="5" t="s">
        <v>642</v>
      </c>
      <c r="E195" s="5" t="s">
        <v>643</v>
      </c>
      <c r="F195" s="5" t="s">
        <v>36</v>
      </c>
      <c r="G195" s="5"/>
      <c r="H195" s="7"/>
      <c r="I195" s="7"/>
    </row>
    <row r="196" customFormat="false" ht="23.85" hidden="false" customHeight="false" outlineLevel="0" collapsed="false">
      <c r="A196" s="5" t="s">
        <v>644</v>
      </c>
      <c r="B196" s="5" t="s">
        <v>632</v>
      </c>
      <c r="C196" s="5"/>
      <c r="D196" s="5" t="s">
        <v>645</v>
      </c>
      <c r="E196" s="5" t="s">
        <v>646</v>
      </c>
      <c r="F196" s="5" t="s">
        <v>24</v>
      </c>
      <c r="G196" s="5"/>
      <c r="H196" s="7"/>
      <c r="I196" s="7"/>
    </row>
    <row r="197" customFormat="false" ht="23.85" hidden="false" customHeight="false" outlineLevel="0" collapsed="false">
      <c r="A197" s="5" t="s">
        <v>647</v>
      </c>
      <c r="B197" s="5" t="s">
        <v>632</v>
      </c>
      <c r="C197" s="5"/>
      <c r="D197" s="5" t="s">
        <v>648</v>
      </c>
      <c r="E197" s="5" t="s">
        <v>649</v>
      </c>
      <c r="F197" s="5" t="s">
        <v>29</v>
      </c>
      <c r="G197" s="6" t="s">
        <v>66</v>
      </c>
      <c r="H197" s="7"/>
      <c r="I197" s="7"/>
    </row>
    <row r="198" customFormat="false" ht="15" hidden="false" customHeight="false" outlineLevel="0" collapsed="false">
      <c r="A198" s="5" t="s">
        <v>650</v>
      </c>
      <c r="B198" s="5" t="s">
        <v>632</v>
      </c>
      <c r="C198" s="5"/>
      <c r="D198" s="5" t="s">
        <v>651</v>
      </c>
      <c r="E198" s="5" t="s">
        <v>652</v>
      </c>
      <c r="F198" s="5" t="s">
        <v>40</v>
      </c>
      <c r="G198" s="5"/>
      <c r="H198" s="7"/>
      <c r="I198" s="7"/>
    </row>
    <row r="199" customFormat="false" ht="15" hidden="false" customHeight="false" outlineLevel="0" collapsed="false">
      <c r="A199" s="5" t="s">
        <v>653</v>
      </c>
      <c r="B199" s="5" t="s">
        <v>632</v>
      </c>
      <c r="C199" s="5"/>
      <c r="D199" s="5" t="s">
        <v>654</v>
      </c>
      <c r="E199" s="5" t="s">
        <v>655</v>
      </c>
      <c r="F199" s="5" t="s">
        <v>24</v>
      </c>
      <c r="G199" s="6" t="s">
        <v>54</v>
      </c>
      <c r="H199" s="7"/>
      <c r="I199" s="7"/>
    </row>
    <row r="200" customFormat="false" ht="15" hidden="false" customHeight="false" outlineLevel="0" collapsed="false">
      <c r="A200" s="5" t="s">
        <v>656</v>
      </c>
      <c r="B200" s="5" t="s">
        <v>632</v>
      </c>
      <c r="C200" s="5"/>
      <c r="D200" s="5" t="s">
        <v>657</v>
      </c>
      <c r="E200" s="5" t="s">
        <v>658</v>
      </c>
      <c r="F200" s="5" t="s">
        <v>24</v>
      </c>
      <c r="G200" s="5"/>
      <c r="H200" s="7"/>
      <c r="I200" s="7"/>
    </row>
    <row r="201" customFormat="false" ht="23.85" hidden="false" customHeight="false" outlineLevel="0" collapsed="false">
      <c r="A201" s="5" t="s">
        <v>659</v>
      </c>
      <c r="B201" s="5" t="s">
        <v>632</v>
      </c>
      <c r="C201" s="5"/>
      <c r="D201" s="5" t="s">
        <v>660</v>
      </c>
      <c r="E201" s="5" t="s">
        <v>661</v>
      </c>
      <c r="F201" s="5" t="s">
        <v>47</v>
      </c>
      <c r="G201" s="5"/>
      <c r="H201" s="7"/>
      <c r="I201" s="7"/>
    </row>
    <row r="202" customFormat="false" ht="15" hidden="false" customHeight="false" outlineLevel="0" collapsed="false">
      <c r="A202" s="5" t="s">
        <v>662</v>
      </c>
      <c r="B202" s="5" t="s">
        <v>632</v>
      </c>
      <c r="C202" s="5"/>
      <c r="D202" s="5" t="s">
        <v>663</v>
      </c>
      <c r="E202" s="5" t="s">
        <v>664</v>
      </c>
      <c r="F202" s="5" t="s">
        <v>40</v>
      </c>
      <c r="G202" s="5"/>
      <c r="H202" s="7"/>
      <c r="I202" s="7"/>
    </row>
    <row r="203" customFormat="false" ht="23.85" hidden="false" customHeight="false" outlineLevel="0" collapsed="false">
      <c r="A203" s="5" t="s">
        <v>665</v>
      </c>
      <c r="B203" s="5" t="s">
        <v>632</v>
      </c>
      <c r="C203" s="5"/>
      <c r="D203" s="5" t="s">
        <v>666</v>
      </c>
      <c r="E203" s="5" t="s">
        <v>667</v>
      </c>
      <c r="F203" s="5" t="s">
        <v>24</v>
      </c>
      <c r="G203" s="6" t="s">
        <v>668</v>
      </c>
      <c r="H203" s="7"/>
      <c r="I203" s="7"/>
    </row>
    <row r="204" customFormat="false" ht="15" hidden="false" customHeight="false" outlineLevel="0" collapsed="false">
      <c r="A204" s="5" t="s">
        <v>669</v>
      </c>
      <c r="B204" s="5" t="s">
        <v>632</v>
      </c>
      <c r="C204" s="5"/>
      <c r="D204" s="5" t="s">
        <v>670</v>
      </c>
      <c r="E204" s="5" t="s">
        <v>671</v>
      </c>
      <c r="F204" s="5" t="s">
        <v>29</v>
      </c>
      <c r="G204" s="5"/>
      <c r="H204" s="7"/>
      <c r="I204" s="7"/>
    </row>
    <row r="205" customFormat="false" ht="15" hidden="false" customHeight="false" outlineLevel="0" collapsed="false">
      <c r="A205" s="5" t="s">
        <v>672</v>
      </c>
      <c r="B205" s="5" t="s">
        <v>632</v>
      </c>
      <c r="C205" s="5"/>
      <c r="D205" s="5" t="s">
        <v>673</v>
      </c>
      <c r="E205" s="5" t="s">
        <v>674</v>
      </c>
      <c r="F205" s="5" t="s">
        <v>40</v>
      </c>
      <c r="G205" s="5"/>
      <c r="H205" s="7"/>
      <c r="I205" s="7"/>
    </row>
    <row r="206" customFormat="false" ht="15" hidden="false" customHeight="false" outlineLevel="0" collapsed="false">
      <c r="A206" s="5" t="s">
        <v>675</v>
      </c>
      <c r="B206" s="5" t="s">
        <v>632</v>
      </c>
      <c r="C206" s="5"/>
      <c r="D206" s="5" t="s">
        <v>676</v>
      </c>
      <c r="E206" s="5" t="s">
        <v>677</v>
      </c>
      <c r="F206" s="5" t="s">
        <v>150</v>
      </c>
      <c r="G206" s="5"/>
      <c r="H206" s="7"/>
      <c r="I206" s="7"/>
    </row>
    <row r="207" customFormat="false" ht="15" hidden="false" customHeight="false" outlineLevel="0" collapsed="false">
      <c r="A207" s="5" t="s">
        <v>678</v>
      </c>
      <c r="B207" s="5" t="s">
        <v>632</v>
      </c>
      <c r="C207" s="5"/>
      <c r="D207" s="5" t="s">
        <v>679</v>
      </c>
      <c r="E207" s="5" t="s">
        <v>680</v>
      </c>
      <c r="F207" s="5" t="s">
        <v>40</v>
      </c>
      <c r="G207" s="5"/>
      <c r="H207" s="7"/>
      <c r="I207" s="7"/>
    </row>
    <row r="208" customFormat="false" ht="15" hidden="false" customHeight="false" outlineLevel="0" collapsed="false">
      <c r="A208" s="5" t="s">
        <v>681</v>
      </c>
      <c r="B208" s="5" t="s">
        <v>632</v>
      </c>
      <c r="C208" s="5"/>
      <c r="D208" s="5" t="s">
        <v>682</v>
      </c>
      <c r="E208" s="5" t="s">
        <v>683</v>
      </c>
      <c r="F208" s="5" t="s">
        <v>40</v>
      </c>
      <c r="G208" s="5"/>
      <c r="H208" s="7"/>
      <c r="I208" s="7"/>
    </row>
    <row r="209" customFormat="false" ht="15" hidden="false" customHeight="false" outlineLevel="0" collapsed="false">
      <c r="A209" s="5" t="s">
        <v>684</v>
      </c>
      <c r="B209" s="5" t="s">
        <v>632</v>
      </c>
      <c r="C209" s="5"/>
      <c r="D209" s="5" t="s">
        <v>685</v>
      </c>
      <c r="E209" s="5" t="s">
        <v>686</v>
      </c>
      <c r="F209" s="5" t="s">
        <v>150</v>
      </c>
      <c r="G209" s="5"/>
      <c r="H209" s="7"/>
      <c r="I209" s="7"/>
    </row>
    <row r="210" customFormat="false" ht="15" hidden="false" customHeight="false" outlineLevel="0" collapsed="false">
      <c r="A210" s="5" t="s">
        <v>687</v>
      </c>
      <c r="B210" s="5" t="s">
        <v>632</v>
      </c>
      <c r="C210" s="5"/>
      <c r="D210" s="5" t="s">
        <v>688</v>
      </c>
      <c r="E210" s="5" t="s">
        <v>689</v>
      </c>
      <c r="F210" s="5" t="s">
        <v>40</v>
      </c>
      <c r="G210" s="6" t="s">
        <v>690</v>
      </c>
      <c r="H210" s="7"/>
      <c r="I210" s="7"/>
    </row>
    <row r="211" customFormat="false" ht="15" hidden="false" customHeight="false" outlineLevel="0" collapsed="false">
      <c r="A211" s="5" t="s">
        <v>691</v>
      </c>
      <c r="B211" s="5" t="s">
        <v>632</v>
      </c>
      <c r="C211" s="5"/>
      <c r="D211" s="5" t="s">
        <v>692</v>
      </c>
      <c r="E211" s="5" t="s">
        <v>693</v>
      </c>
      <c r="F211" s="5" t="s">
        <v>24</v>
      </c>
      <c r="G211" s="6" t="s">
        <v>694</v>
      </c>
      <c r="H211" s="7"/>
      <c r="I211" s="7"/>
    </row>
    <row r="212" customFormat="false" ht="15" hidden="false" customHeight="false" outlineLevel="0" collapsed="false">
      <c r="A212" s="5" t="s">
        <v>695</v>
      </c>
      <c r="B212" s="5" t="s">
        <v>632</v>
      </c>
      <c r="C212" s="5"/>
      <c r="D212" s="5" t="s">
        <v>696</v>
      </c>
      <c r="E212" s="5" t="s">
        <v>697</v>
      </c>
      <c r="F212" s="5" t="s">
        <v>24</v>
      </c>
      <c r="G212" s="6" t="s">
        <v>698</v>
      </c>
      <c r="H212" s="7"/>
      <c r="I212" s="7"/>
    </row>
    <row r="213" customFormat="false" ht="15" hidden="false" customHeight="false" outlineLevel="0" collapsed="false">
      <c r="A213" s="5" t="s">
        <v>699</v>
      </c>
      <c r="B213" s="5" t="s">
        <v>632</v>
      </c>
      <c r="C213" s="5"/>
      <c r="D213" s="5" t="s">
        <v>700</v>
      </c>
      <c r="E213" s="5" t="s">
        <v>701</v>
      </c>
      <c r="F213" s="5" t="s">
        <v>40</v>
      </c>
      <c r="G213" s="5"/>
      <c r="H213" s="7"/>
      <c r="I213" s="7"/>
    </row>
    <row r="214" customFormat="false" ht="15" hidden="false" customHeight="false" outlineLevel="0" collapsed="false">
      <c r="A214" s="5" t="s">
        <v>702</v>
      </c>
      <c r="B214" s="5" t="s">
        <v>632</v>
      </c>
      <c r="C214" s="5"/>
      <c r="D214" s="5" t="s">
        <v>703</v>
      </c>
      <c r="E214" s="5" t="s">
        <v>704</v>
      </c>
      <c r="F214" s="5" t="s">
        <v>40</v>
      </c>
      <c r="G214" s="6" t="s">
        <v>668</v>
      </c>
      <c r="H214" s="7"/>
      <c r="I214" s="7"/>
    </row>
    <row r="215" customFormat="false" ht="15" hidden="false" customHeight="false" outlineLevel="0" collapsed="false">
      <c r="A215" s="5" t="s">
        <v>705</v>
      </c>
      <c r="B215" s="5" t="s">
        <v>632</v>
      </c>
      <c r="C215" s="5"/>
      <c r="D215" s="5" t="s">
        <v>706</v>
      </c>
      <c r="E215" s="5" t="s">
        <v>707</v>
      </c>
      <c r="F215" s="5" t="s">
        <v>24</v>
      </c>
      <c r="G215" s="5"/>
      <c r="H215" s="7"/>
      <c r="I215" s="7"/>
    </row>
    <row r="216" customFormat="false" ht="15" hidden="false" customHeight="false" outlineLevel="0" collapsed="false">
      <c r="A216" s="5" t="s">
        <v>708</v>
      </c>
      <c r="B216" s="5" t="s">
        <v>632</v>
      </c>
      <c r="C216" s="5"/>
      <c r="D216" s="5" t="s">
        <v>709</v>
      </c>
      <c r="E216" s="5" t="s">
        <v>710</v>
      </c>
      <c r="F216" s="5" t="s">
        <v>40</v>
      </c>
      <c r="G216" s="5"/>
      <c r="H216" s="7"/>
      <c r="I216" s="7"/>
    </row>
    <row r="217" customFormat="false" ht="15" hidden="false" customHeight="false" outlineLevel="0" collapsed="false">
      <c r="A217" s="5" t="s">
        <v>711</v>
      </c>
      <c r="B217" s="5" t="s">
        <v>632</v>
      </c>
      <c r="C217" s="5"/>
      <c r="D217" s="5" t="s">
        <v>712</v>
      </c>
      <c r="E217" s="5" t="s">
        <v>713</v>
      </c>
      <c r="F217" s="5" t="s">
        <v>29</v>
      </c>
      <c r="G217" s="5"/>
      <c r="H217" s="7"/>
      <c r="I217" s="7"/>
    </row>
    <row r="218" customFormat="false" ht="15" hidden="false" customHeight="false" outlineLevel="0" collapsed="false">
      <c r="A218" s="5" t="s">
        <v>714</v>
      </c>
      <c r="B218" s="5" t="s">
        <v>632</v>
      </c>
      <c r="C218" s="5"/>
      <c r="D218" s="5" t="s">
        <v>715</v>
      </c>
      <c r="E218" s="5" t="s">
        <v>716</v>
      </c>
      <c r="F218" s="5" t="s">
        <v>40</v>
      </c>
      <c r="G218" s="5"/>
      <c r="H218" s="7"/>
      <c r="I218" s="7"/>
    </row>
    <row r="219" customFormat="false" ht="15" hidden="false" customHeight="false" outlineLevel="0" collapsed="false">
      <c r="A219" s="5" t="s">
        <v>717</v>
      </c>
      <c r="B219" s="5" t="s">
        <v>632</v>
      </c>
      <c r="C219" s="5"/>
      <c r="D219" s="5" t="s">
        <v>718</v>
      </c>
      <c r="E219" s="5" t="s">
        <v>719</v>
      </c>
      <c r="F219" s="5" t="s">
        <v>40</v>
      </c>
      <c r="G219" s="5"/>
      <c r="H219" s="7"/>
      <c r="I219" s="7"/>
    </row>
    <row r="220" customFormat="false" ht="15" hidden="false" customHeight="false" outlineLevel="0" collapsed="false">
      <c r="A220" s="5" t="s">
        <v>720</v>
      </c>
      <c r="B220" s="5" t="s">
        <v>632</v>
      </c>
      <c r="C220" s="5"/>
      <c r="D220" s="5" t="s">
        <v>721</v>
      </c>
      <c r="E220" s="5" t="s">
        <v>722</v>
      </c>
      <c r="F220" s="5" t="s">
        <v>36</v>
      </c>
      <c r="G220" s="5"/>
      <c r="H220" s="7"/>
      <c r="I220" s="7"/>
    </row>
    <row r="221" customFormat="false" ht="15" hidden="false" customHeight="false" outlineLevel="0" collapsed="false">
      <c r="A221" s="5" t="s">
        <v>723</v>
      </c>
      <c r="B221" s="5" t="s">
        <v>632</v>
      </c>
      <c r="C221" s="5"/>
      <c r="D221" s="5" t="s">
        <v>724</v>
      </c>
      <c r="E221" s="5" t="s">
        <v>725</v>
      </c>
      <c r="F221" s="5" t="s">
        <v>150</v>
      </c>
      <c r="G221" s="5"/>
      <c r="H221" s="7"/>
      <c r="I221" s="7"/>
    </row>
    <row r="222" customFormat="false" ht="15" hidden="false" customHeight="false" outlineLevel="0" collapsed="false">
      <c r="A222" s="5" t="s">
        <v>726</v>
      </c>
      <c r="B222" s="5" t="s">
        <v>727</v>
      </c>
      <c r="C222" s="5"/>
      <c r="D222" s="5" t="s">
        <v>728</v>
      </c>
      <c r="E222" s="5" t="s">
        <v>729</v>
      </c>
      <c r="F222" s="5" t="s">
        <v>24</v>
      </c>
      <c r="G222" s="5"/>
      <c r="H222" s="7"/>
      <c r="I222" s="7"/>
    </row>
    <row r="223" customFormat="false" ht="23.85" hidden="false" customHeight="false" outlineLevel="0" collapsed="false">
      <c r="A223" s="5" t="s">
        <v>730</v>
      </c>
      <c r="B223" s="5" t="s">
        <v>727</v>
      </c>
      <c r="C223" s="5"/>
      <c r="D223" s="5" t="s">
        <v>731</v>
      </c>
      <c r="E223" s="5" t="s">
        <v>732</v>
      </c>
      <c r="F223" s="5" t="s">
        <v>29</v>
      </c>
      <c r="G223" s="6" t="s">
        <v>66</v>
      </c>
      <c r="H223" s="7"/>
      <c r="I223" s="7"/>
    </row>
    <row r="224" customFormat="false" ht="15" hidden="false" customHeight="false" outlineLevel="0" collapsed="false">
      <c r="A224" s="5" t="s">
        <v>733</v>
      </c>
      <c r="B224" s="5" t="s">
        <v>727</v>
      </c>
      <c r="C224" s="5"/>
      <c r="D224" s="5" t="s">
        <v>734</v>
      </c>
      <c r="E224" s="5" t="s">
        <v>735</v>
      </c>
      <c r="F224" s="5" t="s">
        <v>36</v>
      </c>
      <c r="G224" s="5"/>
      <c r="H224" s="7"/>
      <c r="I224" s="7"/>
    </row>
    <row r="225" customFormat="false" ht="15" hidden="false" customHeight="false" outlineLevel="0" collapsed="false">
      <c r="A225" s="5" t="s">
        <v>736</v>
      </c>
      <c r="B225" s="5" t="s">
        <v>727</v>
      </c>
      <c r="C225" s="5"/>
      <c r="D225" s="5" t="s">
        <v>737</v>
      </c>
      <c r="E225" s="5" t="s">
        <v>738</v>
      </c>
      <c r="F225" s="5" t="s">
        <v>36</v>
      </c>
      <c r="G225" s="5"/>
      <c r="H225" s="7"/>
      <c r="I225" s="7"/>
    </row>
    <row r="226" customFormat="false" ht="15" hidden="false" customHeight="false" outlineLevel="0" collapsed="false">
      <c r="A226" s="5" t="s">
        <v>739</v>
      </c>
      <c r="B226" s="5" t="s">
        <v>727</v>
      </c>
      <c r="C226" s="5"/>
      <c r="D226" s="5" t="s">
        <v>740</v>
      </c>
      <c r="E226" s="5" t="s">
        <v>741</v>
      </c>
      <c r="F226" s="5" t="s">
        <v>47</v>
      </c>
      <c r="G226" s="5"/>
      <c r="H226" s="7"/>
      <c r="I226" s="7"/>
    </row>
    <row r="227" customFormat="false" ht="15" hidden="false" customHeight="false" outlineLevel="0" collapsed="false">
      <c r="A227" s="5" t="s">
        <v>742</v>
      </c>
      <c r="B227" s="5" t="s">
        <v>727</v>
      </c>
      <c r="C227" s="5"/>
      <c r="D227" s="5" t="s">
        <v>743</v>
      </c>
      <c r="E227" s="5" t="s">
        <v>744</v>
      </c>
      <c r="F227" s="5" t="s">
        <v>40</v>
      </c>
      <c r="G227" s="5"/>
      <c r="H227" s="7"/>
      <c r="I227" s="7"/>
    </row>
    <row r="228" customFormat="false" ht="15" hidden="false" customHeight="false" outlineLevel="0" collapsed="false">
      <c r="A228" s="5" t="s">
        <v>745</v>
      </c>
      <c r="B228" s="5" t="s">
        <v>727</v>
      </c>
      <c r="C228" s="5"/>
      <c r="D228" s="5" t="s">
        <v>746</v>
      </c>
      <c r="E228" s="5" t="s">
        <v>747</v>
      </c>
      <c r="F228" s="5" t="s">
        <v>40</v>
      </c>
      <c r="G228" s="5"/>
      <c r="H228" s="7"/>
      <c r="I228" s="7"/>
    </row>
    <row r="229" customFormat="false" ht="15" hidden="false" customHeight="false" outlineLevel="0" collapsed="false">
      <c r="A229" s="5" t="s">
        <v>748</v>
      </c>
      <c r="B229" s="5" t="s">
        <v>727</v>
      </c>
      <c r="C229" s="5"/>
      <c r="D229" s="5" t="s">
        <v>749</v>
      </c>
      <c r="E229" s="5" t="s">
        <v>750</v>
      </c>
      <c r="F229" s="5" t="s">
        <v>47</v>
      </c>
      <c r="G229" s="6" t="s">
        <v>151</v>
      </c>
      <c r="H229" s="7"/>
      <c r="I229" s="7"/>
    </row>
    <row r="230" customFormat="false" ht="15" hidden="false" customHeight="false" outlineLevel="0" collapsed="false">
      <c r="A230" s="5" t="s">
        <v>751</v>
      </c>
      <c r="B230" s="5" t="s">
        <v>727</v>
      </c>
      <c r="C230" s="5"/>
      <c r="D230" s="5" t="s">
        <v>752</v>
      </c>
      <c r="E230" s="5" t="s">
        <v>753</v>
      </c>
      <c r="F230" s="5" t="s">
        <v>29</v>
      </c>
      <c r="G230" s="5"/>
      <c r="H230" s="7"/>
      <c r="I230" s="7"/>
    </row>
    <row r="231" customFormat="false" ht="15" hidden="false" customHeight="false" outlineLevel="0" collapsed="false">
      <c r="A231" s="5" t="s">
        <v>754</v>
      </c>
      <c r="B231" s="5" t="s">
        <v>727</v>
      </c>
      <c r="C231" s="5"/>
      <c r="D231" s="5" t="s">
        <v>755</v>
      </c>
      <c r="E231" s="5" t="s">
        <v>756</v>
      </c>
      <c r="F231" s="5" t="s">
        <v>47</v>
      </c>
      <c r="G231" s="5"/>
      <c r="H231" s="7"/>
      <c r="I231" s="7"/>
    </row>
    <row r="232" customFormat="false" ht="15" hidden="false" customHeight="false" outlineLevel="0" collapsed="false">
      <c r="A232" s="5" t="s">
        <v>757</v>
      </c>
      <c r="B232" s="5" t="s">
        <v>727</v>
      </c>
      <c r="C232" s="5"/>
      <c r="D232" s="5" t="s">
        <v>758</v>
      </c>
      <c r="E232" s="5" t="s">
        <v>759</v>
      </c>
      <c r="F232" s="5" t="s">
        <v>150</v>
      </c>
      <c r="G232" s="5"/>
      <c r="H232" s="7"/>
      <c r="I232" s="7"/>
    </row>
    <row r="233" customFormat="false" ht="15" hidden="false" customHeight="false" outlineLevel="0" collapsed="false">
      <c r="A233" s="5" t="s">
        <v>760</v>
      </c>
      <c r="B233" s="5" t="s">
        <v>727</v>
      </c>
      <c r="C233" s="5"/>
      <c r="D233" s="5" t="s">
        <v>761</v>
      </c>
      <c r="E233" s="5" t="s">
        <v>762</v>
      </c>
      <c r="F233" s="5" t="s">
        <v>40</v>
      </c>
      <c r="G233" s="5"/>
      <c r="H233" s="7"/>
      <c r="I233" s="7"/>
    </row>
    <row r="234" customFormat="false" ht="15" hidden="false" customHeight="false" outlineLevel="0" collapsed="false">
      <c r="A234" s="5" t="s">
        <v>763</v>
      </c>
      <c r="B234" s="5" t="s">
        <v>727</v>
      </c>
      <c r="C234" s="5"/>
      <c r="D234" s="5" t="s">
        <v>764</v>
      </c>
      <c r="E234" s="5" t="s">
        <v>765</v>
      </c>
      <c r="F234" s="5" t="s">
        <v>40</v>
      </c>
      <c r="G234" s="5"/>
      <c r="H234" s="7"/>
      <c r="I234" s="7"/>
    </row>
    <row r="235" customFormat="false" ht="15" hidden="false" customHeight="false" outlineLevel="0" collapsed="false">
      <c r="A235" s="5" t="s">
        <v>766</v>
      </c>
      <c r="B235" s="5" t="s">
        <v>727</v>
      </c>
      <c r="C235" s="5"/>
      <c r="D235" s="5" t="s">
        <v>767</v>
      </c>
      <c r="E235" s="5" t="s">
        <v>768</v>
      </c>
      <c r="F235" s="5" t="s">
        <v>40</v>
      </c>
      <c r="G235" s="5"/>
      <c r="H235" s="7"/>
      <c r="I235" s="7"/>
    </row>
    <row r="236" customFormat="false" ht="23.85" hidden="false" customHeight="false" outlineLevel="0" collapsed="false">
      <c r="A236" s="5" t="s">
        <v>769</v>
      </c>
      <c r="B236" s="5" t="s">
        <v>727</v>
      </c>
      <c r="C236" s="5"/>
      <c r="D236" s="5" t="s">
        <v>770</v>
      </c>
      <c r="E236" s="5" t="s">
        <v>771</v>
      </c>
      <c r="F236" s="5" t="s">
        <v>40</v>
      </c>
      <c r="G236" s="5"/>
      <c r="H236" s="7"/>
      <c r="I236" s="7"/>
    </row>
    <row r="237" customFormat="false" ht="15" hidden="false" customHeight="false" outlineLevel="0" collapsed="false">
      <c r="A237" s="5" t="s">
        <v>772</v>
      </c>
      <c r="B237" s="5" t="s">
        <v>727</v>
      </c>
      <c r="C237" s="5"/>
      <c r="D237" s="5" t="s">
        <v>773</v>
      </c>
      <c r="E237" s="5" t="s">
        <v>774</v>
      </c>
      <c r="F237" s="5" t="s">
        <v>40</v>
      </c>
      <c r="G237" s="5"/>
      <c r="H237" s="7"/>
      <c r="I237" s="7"/>
    </row>
    <row r="238" customFormat="false" ht="15" hidden="false" customHeight="false" outlineLevel="0" collapsed="false">
      <c r="A238" s="5" t="s">
        <v>775</v>
      </c>
      <c r="B238" s="5" t="s">
        <v>727</v>
      </c>
      <c r="C238" s="5"/>
      <c r="D238" s="5" t="s">
        <v>776</v>
      </c>
      <c r="E238" s="5" t="s">
        <v>777</v>
      </c>
      <c r="F238" s="5" t="s">
        <v>24</v>
      </c>
      <c r="G238" s="5"/>
      <c r="H238" s="7"/>
      <c r="I238" s="7"/>
    </row>
    <row r="239" customFormat="false" ht="15" hidden="false" customHeight="false" outlineLevel="0" collapsed="false">
      <c r="A239" s="5" t="s">
        <v>778</v>
      </c>
      <c r="B239" s="5" t="s">
        <v>727</v>
      </c>
      <c r="C239" s="5"/>
      <c r="D239" s="5" t="s">
        <v>779</v>
      </c>
      <c r="E239" s="5" t="s">
        <v>780</v>
      </c>
      <c r="F239" s="5" t="s">
        <v>47</v>
      </c>
      <c r="G239" s="5"/>
      <c r="H239" s="7"/>
      <c r="I239" s="7"/>
    </row>
    <row r="240" customFormat="false" ht="15" hidden="false" customHeight="false" outlineLevel="0" collapsed="false">
      <c r="A240" s="5" t="s">
        <v>781</v>
      </c>
      <c r="B240" s="5" t="s">
        <v>727</v>
      </c>
      <c r="C240" s="5"/>
      <c r="D240" s="5" t="s">
        <v>782</v>
      </c>
      <c r="E240" s="5" t="s">
        <v>783</v>
      </c>
      <c r="F240" s="5" t="s">
        <v>40</v>
      </c>
      <c r="G240" s="5"/>
      <c r="H240" s="7"/>
      <c r="I240" s="7"/>
    </row>
    <row r="241" customFormat="false" ht="15" hidden="false" customHeight="false" outlineLevel="0" collapsed="false">
      <c r="A241" s="5" t="s">
        <v>784</v>
      </c>
      <c r="B241" s="5" t="s">
        <v>727</v>
      </c>
      <c r="C241" s="5"/>
      <c r="D241" s="5" t="s">
        <v>785</v>
      </c>
      <c r="E241" s="5" t="s">
        <v>786</v>
      </c>
      <c r="F241" s="5" t="s">
        <v>40</v>
      </c>
      <c r="G241" s="5"/>
      <c r="H241" s="7"/>
      <c r="I241" s="7"/>
    </row>
    <row r="242" customFormat="false" ht="15" hidden="false" customHeight="false" outlineLevel="0" collapsed="false">
      <c r="A242" s="5" t="s">
        <v>787</v>
      </c>
      <c r="B242" s="5" t="s">
        <v>727</v>
      </c>
      <c r="C242" s="5"/>
      <c r="D242" s="5" t="s">
        <v>788</v>
      </c>
      <c r="E242" s="5" t="s">
        <v>789</v>
      </c>
      <c r="F242" s="5" t="s">
        <v>47</v>
      </c>
      <c r="G242" s="5"/>
      <c r="H242" s="7"/>
      <c r="I242" s="7"/>
    </row>
    <row r="243" customFormat="false" ht="15" hidden="false" customHeight="false" outlineLevel="0" collapsed="false">
      <c r="A243" s="5" t="s">
        <v>790</v>
      </c>
      <c r="B243" s="5" t="s">
        <v>727</v>
      </c>
      <c r="C243" s="5"/>
      <c r="D243" s="5" t="s">
        <v>791</v>
      </c>
      <c r="E243" s="5" t="s">
        <v>792</v>
      </c>
      <c r="F243" s="5" t="s">
        <v>40</v>
      </c>
      <c r="G243" s="5"/>
      <c r="H243" s="7"/>
      <c r="I243" s="7"/>
    </row>
    <row r="244" customFormat="false" ht="15" hidden="false" customHeight="false" outlineLevel="0" collapsed="false">
      <c r="A244" s="5" t="s">
        <v>793</v>
      </c>
      <c r="B244" s="5" t="s">
        <v>727</v>
      </c>
      <c r="C244" s="5"/>
      <c r="D244" s="5" t="s">
        <v>794</v>
      </c>
      <c r="E244" s="5" t="s">
        <v>795</v>
      </c>
      <c r="F244" s="5" t="s">
        <v>24</v>
      </c>
      <c r="G244" s="5"/>
      <c r="H244" s="7"/>
      <c r="I244" s="7"/>
    </row>
    <row r="245" customFormat="false" ht="15" hidden="false" customHeight="false" outlineLevel="0" collapsed="false">
      <c r="A245" s="5" t="s">
        <v>796</v>
      </c>
      <c r="B245" s="5" t="s">
        <v>727</v>
      </c>
      <c r="C245" s="5"/>
      <c r="D245" s="5" t="s">
        <v>797</v>
      </c>
      <c r="E245" s="5" t="s">
        <v>798</v>
      </c>
      <c r="F245" s="5" t="s">
        <v>40</v>
      </c>
      <c r="G245" s="6" t="s">
        <v>799</v>
      </c>
      <c r="H245" s="7"/>
      <c r="I245" s="7"/>
    </row>
  </sheetData>
  <autoFilter ref="A1:I245"/>
  <dataValidations count="1">
    <dataValidation allowBlank="true" errorStyle="stop" operator="between" showDropDown="false" showErrorMessage="false" showInputMessage="false" sqref="H2:H245" type="list">
      <formula1>"Behalten,Streichen,Ändern"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8"/>
    <col collapsed="false" customWidth="true" hidden="false" outlineLevel="0" max="5" min="4" style="0" width="58"/>
    <col collapsed="false" customWidth="true" hidden="false" outlineLevel="0" max="6" min="6" style="0" width="16"/>
    <col collapsed="false" customWidth="true" hidden="false" outlineLevel="0" max="7" min="7" style="0" width="52"/>
    <col collapsed="false" customWidth="true" hidden="false" outlineLevel="0" max="8" min="8" style="0" width="14"/>
    <col collapsed="false" customWidth="true" hidden="false" outlineLevel="0" max="9" min="9" style="0" width="36"/>
  </cols>
  <sheetData>
    <row r="1" customFormat="false" ht="26.85" hidden="false" customHeight="false" outlineLevel="0" collapsed="false">
      <c r="A1" s="4" t="s">
        <v>11</v>
      </c>
      <c r="B1" s="4" t="s">
        <v>12</v>
      </c>
      <c r="C1" s="4" t="s">
        <v>13</v>
      </c>
      <c r="D1" s="4" t="s">
        <v>14</v>
      </c>
      <c r="E1" s="4" t="s">
        <v>15</v>
      </c>
      <c r="F1" s="4" t="s">
        <v>16</v>
      </c>
      <c r="G1" s="4" t="s">
        <v>17</v>
      </c>
      <c r="H1" s="4" t="s">
        <v>18</v>
      </c>
      <c r="I1" s="4" t="s">
        <v>19</v>
      </c>
    </row>
    <row r="2" customFormat="false" ht="23.85" hidden="false" customHeight="false" outlineLevel="0" collapsed="false">
      <c r="A2" s="5" t="s">
        <v>800</v>
      </c>
      <c r="B2" s="5" t="s">
        <v>254</v>
      </c>
      <c r="C2" s="5" t="s">
        <v>801</v>
      </c>
      <c r="D2" s="5" t="s">
        <v>802</v>
      </c>
      <c r="E2" s="5" t="s">
        <v>803</v>
      </c>
      <c r="F2" s="5" t="s">
        <v>40</v>
      </c>
      <c r="G2" s="6" t="s">
        <v>804</v>
      </c>
      <c r="H2" s="7"/>
      <c r="I2" s="7"/>
    </row>
    <row r="3" customFormat="false" ht="23.85" hidden="false" customHeight="false" outlineLevel="0" collapsed="false">
      <c r="A3" s="5" t="s">
        <v>805</v>
      </c>
      <c r="B3" s="5" t="s">
        <v>254</v>
      </c>
      <c r="C3" s="5" t="s">
        <v>801</v>
      </c>
      <c r="D3" s="5" t="s">
        <v>806</v>
      </c>
      <c r="E3" s="5" t="s">
        <v>807</v>
      </c>
      <c r="F3" s="5" t="s">
        <v>36</v>
      </c>
      <c r="G3" s="5"/>
      <c r="H3" s="7"/>
      <c r="I3" s="7"/>
    </row>
    <row r="4" customFormat="false" ht="15" hidden="false" customHeight="false" outlineLevel="0" collapsed="false">
      <c r="A4" s="5" t="s">
        <v>808</v>
      </c>
      <c r="B4" s="5" t="s">
        <v>254</v>
      </c>
      <c r="C4" s="5" t="s">
        <v>801</v>
      </c>
      <c r="D4" s="5" t="s">
        <v>809</v>
      </c>
      <c r="E4" s="5" t="s">
        <v>810</v>
      </c>
      <c r="F4" s="5" t="s">
        <v>47</v>
      </c>
      <c r="G4" s="5"/>
      <c r="H4" s="7"/>
      <c r="I4" s="7"/>
    </row>
    <row r="5" customFormat="false" ht="23.85" hidden="false" customHeight="false" outlineLevel="0" collapsed="false">
      <c r="A5" s="5" t="s">
        <v>811</v>
      </c>
      <c r="B5" s="5" t="s">
        <v>254</v>
      </c>
      <c r="C5" s="5" t="s">
        <v>812</v>
      </c>
      <c r="D5" s="5" t="s">
        <v>813</v>
      </c>
      <c r="E5" s="5" t="s">
        <v>814</v>
      </c>
      <c r="F5" s="5" t="s">
        <v>40</v>
      </c>
      <c r="G5" s="5"/>
      <c r="H5" s="7"/>
      <c r="I5" s="7"/>
    </row>
    <row r="6" customFormat="false" ht="23.85" hidden="false" customHeight="false" outlineLevel="0" collapsed="false">
      <c r="A6" s="5" t="s">
        <v>815</v>
      </c>
      <c r="B6" s="5" t="s">
        <v>254</v>
      </c>
      <c r="C6" s="5" t="s">
        <v>812</v>
      </c>
      <c r="D6" s="5" t="s">
        <v>816</v>
      </c>
      <c r="E6" s="5" t="s">
        <v>817</v>
      </c>
      <c r="F6" s="5" t="s">
        <v>150</v>
      </c>
      <c r="G6" s="5"/>
      <c r="H6" s="7"/>
      <c r="I6" s="7"/>
    </row>
    <row r="7" customFormat="false" ht="23.85" hidden="false" customHeight="false" outlineLevel="0" collapsed="false">
      <c r="A7" s="5" t="s">
        <v>818</v>
      </c>
      <c r="B7" s="5" t="s">
        <v>254</v>
      </c>
      <c r="C7" s="5" t="s">
        <v>801</v>
      </c>
      <c r="D7" s="5" t="s">
        <v>819</v>
      </c>
      <c r="E7" s="5" t="s">
        <v>820</v>
      </c>
      <c r="F7" s="5" t="s">
        <v>40</v>
      </c>
      <c r="G7" s="5"/>
      <c r="H7" s="7"/>
      <c r="I7" s="7"/>
    </row>
    <row r="8" customFormat="false" ht="23.85" hidden="false" customHeight="false" outlineLevel="0" collapsed="false">
      <c r="A8" s="5" t="s">
        <v>821</v>
      </c>
      <c r="B8" s="5" t="s">
        <v>254</v>
      </c>
      <c r="C8" s="5" t="s">
        <v>812</v>
      </c>
      <c r="D8" s="5" t="s">
        <v>822</v>
      </c>
      <c r="E8" s="5" t="s">
        <v>823</v>
      </c>
      <c r="F8" s="5" t="s">
        <v>40</v>
      </c>
      <c r="G8" s="5"/>
      <c r="H8" s="7"/>
      <c r="I8" s="7"/>
    </row>
    <row r="9" customFormat="false" ht="23.85" hidden="false" customHeight="false" outlineLevel="0" collapsed="false">
      <c r="A9" s="5" t="s">
        <v>824</v>
      </c>
      <c r="B9" s="5" t="s">
        <v>254</v>
      </c>
      <c r="C9" s="5" t="s">
        <v>812</v>
      </c>
      <c r="D9" s="5" t="s">
        <v>825</v>
      </c>
      <c r="E9" s="5" t="s">
        <v>826</v>
      </c>
      <c r="F9" s="5" t="s">
        <v>40</v>
      </c>
      <c r="G9" s="5"/>
      <c r="H9" s="7"/>
      <c r="I9" s="7"/>
    </row>
    <row r="10" customFormat="false" ht="15" hidden="false" customHeight="false" outlineLevel="0" collapsed="false">
      <c r="A10" s="5" t="s">
        <v>827</v>
      </c>
      <c r="B10" s="5" t="s">
        <v>632</v>
      </c>
      <c r="C10" s="5" t="s">
        <v>801</v>
      </c>
      <c r="D10" s="5" t="s">
        <v>828</v>
      </c>
      <c r="E10" s="5" t="s">
        <v>829</v>
      </c>
      <c r="F10" s="5" t="s">
        <v>40</v>
      </c>
      <c r="G10" s="5"/>
      <c r="H10" s="7"/>
      <c r="I10" s="7"/>
    </row>
    <row r="11" customFormat="false" ht="23.85" hidden="false" customHeight="false" outlineLevel="0" collapsed="false">
      <c r="A11" s="5" t="s">
        <v>830</v>
      </c>
      <c r="B11" s="5" t="s">
        <v>632</v>
      </c>
      <c r="C11" s="5" t="s">
        <v>801</v>
      </c>
      <c r="D11" s="5" t="s">
        <v>831</v>
      </c>
      <c r="E11" s="5" t="s">
        <v>832</v>
      </c>
      <c r="F11" s="5" t="s">
        <v>40</v>
      </c>
      <c r="G11" s="5"/>
      <c r="H11" s="7"/>
      <c r="I11" s="7"/>
    </row>
    <row r="12" customFormat="false" ht="23.85" hidden="false" customHeight="false" outlineLevel="0" collapsed="false">
      <c r="A12" s="5" t="s">
        <v>833</v>
      </c>
      <c r="B12" s="5" t="s">
        <v>632</v>
      </c>
      <c r="C12" s="5" t="s">
        <v>801</v>
      </c>
      <c r="D12" s="5" t="s">
        <v>834</v>
      </c>
      <c r="E12" s="5" t="s">
        <v>835</v>
      </c>
      <c r="F12" s="5" t="s">
        <v>40</v>
      </c>
      <c r="G12" s="6" t="s">
        <v>804</v>
      </c>
      <c r="H12" s="7"/>
      <c r="I12" s="7"/>
    </row>
    <row r="13" customFormat="false" ht="23.85" hidden="false" customHeight="false" outlineLevel="0" collapsed="false">
      <c r="A13" s="5" t="s">
        <v>836</v>
      </c>
      <c r="B13" s="5" t="s">
        <v>632</v>
      </c>
      <c r="C13" s="5" t="s">
        <v>812</v>
      </c>
      <c r="D13" s="5" t="s">
        <v>837</v>
      </c>
      <c r="E13" s="5" t="s">
        <v>838</v>
      </c>
      <c r="F13" s="5" t="s">
        <v>40</v>
      </c>
      <c r="G13" s="5"/>
      <c r="H13" s="7"/>
      <c r="I13" s="7"/>
    </row>
    <row r="14" customFormat="false" ht="15" hidden="false" customHeight="false" outlineLevel="0" collapsed="false">
      <c r="A14" s="5" t="s">
        <v>839</v>
      </c>
      <c r="B14" s="5" t="s">
        <v>632</v>
      </c>
      <c r="C14" s="5" t="s">
        <v>812</v>
      </c>
      <c r="D14" s="5" t="s">
        <v>840</v>
      </c>
      <c r="E14" s="5" t="s">
        <v>841</v>
      </c>
      <c r="F14" s="5" t="s">
        <v>40</v>
      </c>
      <c r="G14" s="5"/>
      <c r="H14" s="7"/>
      <c r="I14" s="7"/>
    </row>
    <row r="15" customFormat="false" ht="23.85" hidden="false" customHeight="false" outlineLevel="0" collapsed="false">
      <c r="A15" s="5" t="s">
        <v>842</v>
      </c>
      <c r="B15" s="5" t="s">
        <v>632</v>
      </c>
      <c r="C15" s="5" t="s">
        <v>801</v>
      </c>
      <c r="D15" s="5" t="s">
        <v>843</v>
      </c>
      <c r="E15" s="5" t="s">
        <v>844</v>
      </c>
      <c r="F15" s="5" t="s">
        <v>40</v>
      </c>
      <c r="G15" s="5"/>
      <c r="H15" s="7"/>
      <c r="I15" s="7"/>
    </row>
    <row r="16" customFormat="false" ht="23.85" hidden="false" customHeight="false" outlineLevel="0" collapsed="false">
      <c r="A16" s="5" t="s">
        <v>845</v>
      </c>
      <c r="B16" s="5" t="s">
        <v>632</v>
      </c>
      <c r="C16" s="5" t="s">
        <v>812</v>
      </c>
      <c r="D16" s="5" t="s">
        <v>846</v>
      </c>
      <c r="E16" s="5" t="s">
        <v>847</v>
      </c>
      <c r="F16" s="5" t="s">
        <v>40</v>
      </c>
      <c r="G16" s="5"/>
      <c r="H16" s="7"/>
      <c r="I16" s="7"/>
    </row>
    <row r="17" customFormat="false" ht="15" hidden="false" customHeight="false" outlineLevel="0" collapsed="false">
      <c r="A17" s="5" t="s">
        <v>848</v>
      </c>
      <c r="B17" s="5" t="s">
        <v>632</v>
      </c>
      <c r="C17" s="5" t="s">
        <v>812</v>
      </c>
      <c r="D17" s="5" t="s">
        <v>849</v>
      </c>
      <c r="E17" s="5" t="s">
        <v>850</v>
      </c>
      <c r="F17" s="5" t="s">
        <v>47</v>
      </c>
      <c r="G17" s="6" t="s">
        <v>690</v>
      </c>
      <c r="H17" s="7"/>
      <c r="I17" s="7"/>
    </row>
    <row r="18" customFormat="false" ht="35.05" hidden="false" customHeight="false" outlineLevel="0" collapsed="false">
      <c r="A18" s="5" t="s">
        <v>851</v>
      </c>
      <c r="B18" s="5" t="s">
        <v>59</v>
      </c>
      <c r="C18" s="5" t="s">
        <v>801</v>
      </c>
      <c r="D18" s="5" t="s">
        <v>852</v>
      </c>
      <c r="E18" s="5" t="s">
        <v>853</v>
      </c>
      <c r="F18" s="5" t="s">
        <v>40</v>
      </c>
      <c r="G18" s="6" t="s">
        <v>854</v>
      </c>
      <c r="H18" s="7"/>
      <c r="I18" s="7"/>
    </row>
    <row r="19" customFormat="false" ht="23.85" hidden="false" customHeight="false" outlineLevel="0" collapsed="false">
      <c r="A19" s="5" t="s">
        <v>855</v>
      </c>
      <c r="B19" s="5" t="s">
        <v>59</v>
      </c>
      <c r="C19" s="5" t="s">
        <v>812</v>
      </c>
      <c r="D19" s="5" t="s">
        <v>856</v>
      </c>
      <c r="E19" s="5" t="s">
        <v>857</v>
      </c>
      <c r="F19" s="5" t="s">
        <v>36</v>
      </c>
      <c r="G19" s="6" t="s">
        <v>89</v>
      </c>
      <c r="H19" s="7"/>
      <c r="I19" s="7"/>
    </row>
    <row r="20" customFormat="false" ht="15" hidden="false" customHeight="false" outlineLevel="0" collapsed="false">
      <c r="A20" s="5" t="s">
        <v>858</v>
      </c>
      <c r="B20" s="5" t="s">
        <v>59</v>
      </c>
      <c r="C20" s="5" t="s">
        <v>801</v>
      </c>
      <c r="D20" s="5" t="s">
        <v>859</v>
      </c>
      <c r="E20" s="5" t="s">
        <v>860</v>
      </c>
      <c r="F20" s="5" t="s">
        <v>24</v>
      </c>
      <c r="G20" s="5"/>
      <c r="H20" s="7"/>
      <c r="I20" s="7"/>
    </row>
    <row r="21" customFormat="false" ht="23.85" hidden="false" customHeight="false" outlineLevel="0" collapsed="false">
      <c r="A21" s="5" t="s">
        <v>861</v>
      </c>
      <c r="B21" s="5" t="s">
        <v>59</v>
      </c>
      <c r="C21" s="5" t="s">
        <v>812</v>
      </c>
      <c r="D21" s="5" t="s">
        <v>862</v>
      </c>
      <c r="E21" s="5" t="s">
        <v>863</v>
      </c>
      <c r="F21" s="5" t="s">
        <v>40</v>
      </c>
      <c r="G21" s="5"/>
      <c r="H21" s="7"/>
      <c r="I21" s="7"/>
    </row>
    <row r="22" customFormat="false" ht="15" hidden="false" customHeight="false" outlineLevel="0" collapsed="false">
      <c r="A22" s="5" t="s">
        <v>864</v>
      </c>
      <c r="B22" s="5" t="s">
        <v>59</v>
      </c>
      <c r="C22" s="5" t="s">
        <v>801</v>
      </c>
      <c r="D22" s="5" t="s">
        <v>865</v>
      </c>
      <c r="E22" s="5" t="s">
        <v>866</v>
      </c>
      <c r="F22" s="5" t="s">
        <v>40</v>
      </c>
      <c r="G22" s="5"/>
      <c r="H22" s="7"/>
      <c r="I22" s="7"/>
    </row>
    <row r="23" customFormat="false" ht="23.85" hidden="false" customHeight="false" outlineLevel="0" collapsed="false">
      <c r="A23" s="5" t="s">
        <v>867</v>
      </c>
      <c r="B23" s="5" t="s">
        <v>59</v>
      </c>
      <c r="C23" s="5" t="s">
        <v>812</v>
      </c>
      <c r="D23" s="5" t="s">
        <v>868</v>
      </c>
      <c r="E23" s="5" t="s">
        <v>869</v>
      </c>
      <c r="F23" s="5" t="s">
        <v>40</v>
      </c>
      <c r="G23" s="6" t="s">
        <v>115</v>
      </c>
      <c r="H23" s="7"/>
      <c r="I23" s="7"/>
    </row>
    <row r="24" customFormat="false" ht="15" hidden="false" customHeight="false" outlineLevel="0" collapsed="false">
      <c r="A24" s="5" t="s">
        <v>870</v>
      </c>
      <c r="B24" s="5" t="s">
        <v>59</v>
      </c>
      <c r="C24" s="5" t="s">
        <v>801</v>
      </c>
      <c r="D24" s="5" t="s">
        <v>871</v>
      </c>
      <c r="E24" s="5" t="s">
        <v>872</v>
      </c>
      <c r="F24" s="5" t="s">
        <v>36</v>
      </c>
      <c r="G24" s="5"/>
      <c r="H24" s="7"/>
      <c r="I24" s="7"/>
    </row>
    <row r="25" customFormat="false" ht="23.85" hidden="false" customHeight="false" outlineLevel="0" collapsed="false">
      <c r="A25" s="5" t="s">
        <v>873</v>
      </c>
      <c r="B25" s="5" t="s">
        <v>59</v>
      </c>
      <c r="C25" s="5" t="s">
        <v>812</v>
      </c>
      <c r="D25" s="5" t="s">
        <v>874</v>
      </c>
      <c r="E25" s="5" t="s">
        <v>875</v>
      </c>
      <c r="F25" s="5" t="s">
        <v>40</v>
      </c>
      <c r="G25" s="6" t="s">
        <v>804</v>
      </c>
      <c r="H25" s="7"/>
      <c r="I25" s="7"/>
    </row>
    <row r="26" customFormat="false" ht="23.85" hidden="false" customHeight="false" outlineLevel="0" collapsed="false">
      <c r="A26" s="5" t="s">
        <v>876</v>
      </c>
      <c r="B26" s="5" t="s">
        <v>505</v>
      </c>
      <c r="C26" s="5" t="s">
        <v>801</v>
      </c>
      <c r="D26" s="5" t="s">
        <v>877</v>
      </c>
      <c r="E26" s="5" t="s">
        <v>878</v>
      </c>
      <c r="F26" s="5" t="s">
        <v>40</v>
      </c>
      <c r="G26" s="6" t="s">
        <v>804</v>
      </c>
      <c r="H26" s="7"/>
      <c r="I26" s="7"/>
    </row>
    <row r="27" customFormat="false" ht="23.85" hidden="false" customHeight="false" outlineLevel="0" collapsed="false">
      <c r="A27" s="5" t="s">
        <v>879</v>
      </c>
      <c r="B27" s="5" t="s">
        <v>505</v>
      </c>
      <c r="C27" s="5" t="s">
        <v>801</v>
      </c>
      <c r="D27" s="5" t="s">
        <v>880</v>
      </c>
      <c r="E27" s="5" t="s">
        <v>881</v>
      </c>
      <c r="F27" s="5" t="s">
        <v>40</v>
      </c>
      <c r="G27" s="5"/>
      <c r="H27" s="7"/>
      <c r="I27" s="7"/>
    </row>
    <row r="28" customFormat="false" ht="15" hidden="false" customHeight="false" outlineLevel="0" collapsed="false">
      <c r="A28" s="5" t="s">
        <v>882</v>
      </c>
      <c r="B28" s="5" t="s">
        <v>505</v>
      </c>
      <c r="C28" s="5" t="s">
        <v>812</v>
      </c>
      <c r="D28" s="5" t="s">
        <v>883</v>
      </c>
      <c r="E28" s="5" t="s">
        <v>884</v>
      </c>
      <c r="F28" s="5" t="s">
        <v>40</v>
      </c>
      <c r="G28" s="6" t="s">
        <v>563</v>
      </c>
      <c r="H28" s="7"/>
      <c r="I28" s="7"/>
    </row>
    <row r="29" customFormat="false" ht="15" hidden="false" customHeight="false" outlineLevel="0" collapsed="false">
      <c r="A29" s="5" t="s">
        <v>885</v>
      </c>
      <c r="B29" s="5" t="s">
        <v>505</v>
      </c>
      <c r="C29" s="5" t="s">
        <v>812</v>
      </c>
      <c r="D29" s="5" t="s">
        <v>886</v>
      </c>
      <c r="E29" s="5" t="s">
        <v>887</v>
      </c>
      <c r="F29" s="5" t="s">
        <v>40</v>
      </c>
      <c r="G29" s="5"/>
      <c r="H29" s="7"/>
      <c r="I29" s="7"/>
    </row>
    <row r="30" customFormat="false" ht="23.85" hidden="false" customHeight="false" outlineLevel="0" collapsed="false">
      <c r="A30" s="5" t="s">
        <v>888</v>
      </c>
      <c r="B30" s="5" t="s">
        <v>505</v>
      </c>
      <c r="C30" s="5" t="s">
        <v>801</v>
      </c>
      <c r="D30" s="5" t="s">
        <v>889</v>
      </c>
      <c r="E30" s="5" t="s">
        <v>890</v>
      </c>
      <c r="F30" s="5" t="s">
        <v>40</v>
      </c>
      <c r="G30" s="5"/>
      <c r="H30" s="7"/>
      <c r="I30" s="7"/>
    </row>
    <row r="31" customFormat="false" ht="23.85" hidden="false" customHeight="false" outlineLevel="0" collapsed="false">
      <c r="A31" s="5" t="s">
        <v>891</v>
      </c>
      <c r="B31" s="5" t="s">
        <v>505</v>
      </c>
      <c r="C31" s="5" t="s">
        <v>812</v>
      </c>
      <c r="D31" s="5" t="s">
        <v>892</v>
      </c>
      <c r="E31" s="5" t="s">
        <v>893</v>
      </c>
      <c r="F31" s="5" t="s">
        <v>40</v>
      </c>
      <c r="G31" s="6" t="s">
        <v>804</v>
      </c>
      <c r="H31" s="7"/>
      <c r="I31" s="7"/>
    </row>
    <row r="32" customFormat="false" ht="23.85" hidden="false" customHeight="false" outlineLevel="0" collapsed="false">
      <c r="A32" s="5" t="s">
        <v>894</v>
      </c>
      <c r="B32" s="5" t="s">
        <v>505</v>
      </c>
      <c r="C32" s="5" t="s">
        <v>801</v>
      </c>
      <c r="D32" s="5" t="s">
        <v>895</v>
      </c>
      <c r="E32" s="5" t="s">
        <v>896</v>
      </c>
      <c r="F32" s="5" t="s">
        <v>40</v>
      </c>
      <c r="G32" s="5"/>
      <c r="H32" s="7"/>
      <c r="I32" s="7"/>
    </row>
    <row r="33" customFormat="false" ht="15" hidden="false" customHeight="false" outlineLevel="0" collapsed="false">
      <c r="A33" s="5" t="s">
        <v>897</v>
      </c>
      <c r="B33" s="5" t="s">
        <v>505</v>
      </c>
      <c r="C33" s="5" t="s">
        <v>812</v>
      </c>
      <c r="D33" s="5" t="s">
        <v>898</v>
      </c>
      <c r="E33" s="5" t="s">
        <v>899</v>
      </c>
      <c r="F33" s="5" t="s">
        <v>40</v>
      </c>
      <c r="G33" s="5"/>
      <c r="H33" s="7"/>
      <c r="I33" s="7"/>
    </row>
    <row r="34" customFormat="false" ht="23.85" hidden="false" customHeight="false" outlineLevel="0" collapsed="false">
      <c r="A34" s="5" t="s">
        <v>900</v>
      </c>
      <c r="B34" s="5" t="s">
        <v>412</v>
      </c>
      <c r="C34" s="5" t="s">
        <v>801</v>
      </c>
      <c r="D34" s="5" t="s">
        <v>901</v>
      </c>
      <c r="E34" s="5" t="s">
        <v>902</v>
      </c>
      <c r="F34" s="5" t="s">
        <v>40</v>
      </c>
      <c r="G34" s="6" t="s">
        <v>804</v>
      </c>
      <c r="H34" s="7"/>
      <c r="I34" s="7"/>
    </row>
    <row r="35" customFormat="false" ht="23.85" hidden="false" customHeight="false" outlineLevel="0" collapsed="false">
      <c r="A35" s="5" t="s">
        <v>903</v>
      </c>
      <c r="B35" s="5" t="s">
        <v>412</v>
      </c>
      <c r="C35" s="5" t="s">
        <v>812</v>
      </c>
      <c r="D35" s="5" t="s">
        <v>904</v>
      </c>
      <c r="E35" s="5" t="s">
        <v>905</v>
      </c>
      <c r="F35" s="5" t="s">
        <v>40</v>
      </c>
      <c r="G35" s="6" t="s">
        <v>804</v>
      </c>
      <c r="H35" s="7"/>
      <c r="I35" s="7"/>
    </row>
    <row r="36" customFormat="false" ht="23.85" hidden="false" customHeight="false" outlineLevel="0" collapsed="false">
      <c r="A36" s="5" t="s">
        <v>906</v>
      </c>
      <c r="B36" s="5" t="s">
        <v>412</v>
      </c>
      <c r="C36" s="5" t="s">
        <v>801</v>
      </c>
      <c r="D36" s="5" t="s">
        <v>907</v>
      </c>
      <c r="E36" s="5" t="s">
        <v>908</v>
      </c>
      <c r="F36" s="5" t="s">
        <v>29</v>
      </c>
      <c r="G36" s="5"/>
      <c r="H36" s="7"/>
      <c r="I36" s="7"/>
    </row>
    <row r="37" customFormat="false" ht="15" hidden="false" customHeight="false" outlineLevel="0" collapsed="false">
      <c r="A37" s="5" t="s">
        <v>909</v>
      </c>
      <c r="B37" s="5" t="s">
        <v>412</v>
      </c>
      <c r="C37" s="5" t="s">
        <v>801</v>
      </c>
      <c r="D37" s="5" t="s">
        <v>910</v>
      </c>
      <c r="E37" s="5" t="s">
        <v>911</v>
      </c>
      <c r="F37" s="5" t="s">
        <v>40</v>
      </c>
      <c r="G37" s="5"/>
      <c r="H37" s="7"/>
      <c r="I37" s="7"/>
    </row>
    <row r="38" customFormat="false" ht="15" hidden="false" customHeight="false" outlineLevel="0" collapsed="false">
      <c r="A38" s="5" t="s">
        <v>912</v>
      </c>
      <c r="B38" s="5" t="s">
        <v>412</v>
      </c>
      <c r="C38" s="5" t="s">
        <v>812</v>
      </c>
      <c r="D38" s="5" t="s">
        <v>913</v>
      </c>
      <c r="E38" s="5" t="s">
        <v>914</v>
      </c>
      <c r="F38" s="5" t="s">
        <v>40</v>
      </c>
      <c r="G38" s="5"/>
      <c r="H38" s="7"/>
      <c r="I38" s="7"/>
    </row>
    <row r="39" customFormat="false" ht="23.85" hidden="false" customHeight="false" outlineLevel="0" collapsed="false">
      <c r="A39" s="5" t="s">
        <v>915</v>
      </c>
      <c r="B39" s="5" t="s">
        <v>412</v>
      </c>
      <c r="C39" s="5" t="s">
        <v>812</v>
      </c>
      <c r="D39" s="5" t="s">
        <v>916</v>
      </c>
      <c r="E39" s="5" t="s">
        <v>917</v>
      </c>
      <c r="F39" s="5" t="s">
        <v>40</v>
      </c>
      <c r="G39" s="5"/>
      <c r="H39" s="7"/>
      <c r="I39" s="7"/>
    </row>
    <row r="40" customFormat="false" ht="15" hidden="false" customHeight="false" outlineLevel="0" collapsed="false">
      <c r="A40" s="5" t="s">
        <v>918</v>
      </c>
      <c r="B40" s="5" t="s">
        <v>412</v>
      </c>
      <c r="C40" s="5" t="s">
        <v>801</v>
      </c>
      <c r="D40" s="5" t="s">
        <v>919</v>
      </c>
      <c r="E40" s="5" t="s">
        <v>920</v>
      </c>
      <c r="F40" s="5" t="s">
        <v>40</v>
      </c>
      <c r="G40" s="5"/>
      <c r="H40" s="7"/>
      <c r="I40" s="7"/>
    </row>
    <row r="41" customFormat="false" ht="23.85" hidden="false" customHeight="false" outlineLevel="0" collapsed="false">
      <c r="A41" s="5" t="s">
        <v>921</v>
      </c>
      <c r="B41" s="5" t="s">
        <v>412</v>
      </c>
      <c r="C41" s="5" t="s">
        <v>812</v>
      </c>
      <c r="D41" s="5" t="s">
        <v>922</v>
      </c>
      <c r="E41" s="5" t="s">
        <v>923</v>
      </c>
      <c r="F41" s="5" t="s">
        <v>40</v>
      </c>
      <c r="G41" s="6" t="s">
        <v>804</v>
      </c>
      <c r="H41" s="7"/>
      <c r="I41" s="7"/>
    </row>
    <row r="42" customFormat="false" ht="15" hidden="false" customHeight="false" outlineLevel="0" collapsed="false">
      <c r="A42" s="5" t="s">
        <v>924</v>
      </c>
      <c r="B42" s="5" t="s">
        <v>159</v>
      </c>
      <c r="C42" s="5" t="s">
        <v>801</v>
      </c>
      <c r="D42" s="5" t="s">
        <v>925</v>
      </c>
      <c r="E42" s="5" t="s">
        <v>926</v>
      </c>
      <c r="F42" s="5" t="s">
        <v>36</v>
      </c>
      <c r="G42" s="5"/>
      <c r="H42" s="7"/>
      <c r="I42" s="7"/>
    </row>
    <row r="43" customFormat="false" ht="15" hidden="false" customHeight="false" outlineLevel="0" collapsed="false">
      <c r="A43" s="5" t="s">
        <v>927</v>
      </c>
      <c r="B43" s="5" t="s">
        <v>159</v>
      </c>
      <c r="C43" s="5" t="s">
        <v>801</v>
      </c>
      <c r="D43" s="5" t="s">
        <v>928</v>
      </c>
      <c r="E43" s="5" t="s">
        <v>929</v>
      </c>
      <c r="F43" s="5" t="s">
        <v>47</v>
      </c>
      <c r="G43" s="5"/>
      <c r="H43" s="7"/>
      <c r="I43" s="7"/>
    </row>
    <row r="44" customFormat="false" ht="15" hidden="false" customHeight="false" outlineLevel="0" collapsed="false">
      <c r="A44" s="5" t="s">
        <v>930</v>
      </c>
      <c r="B44" s="5" t="s">
        <v>159</v>
      </c>
      <c r="C44" s="5" t="s">
        <v>812</v>
      </c>
      <c r="D44" s="5" t="s">
        <v>931</v>
      </c>
      <c r="E44" s="5" t="s">
        <v>932</v>
      </c>
      <c r="F44" s="5" t="s">
        <v>36</v>
      </c>
      <c r="G44" s="5"/>
      <c r="H44" s="7"/>
      <c r="I44" s="7"/>
    </row>
    <row r="45" customFormat="false" ht="23.85" hidden="false" customHeight="false" outlineLevel="0" collapsed="false">
      <c r="A45" s="5" t="s">
        <v>933</v>
      </c>
      <c r="B45" s="5" t="s">
        <v>159</v>
      </c>
      <c r="C45" s="5" t="s">
        <v>801</v>
      </c>
      <c r="D45" s="5" t="s">
        <v>934</v>
      </c>
      <c r="E45" s="5" t="s">
        <v>935</v>
      </c>
      <c r="F45" s="5" t="s">
        <v>40</v>
      </c>
      <c r="G45" s="5"/>
      <c r="H45" s="7"/>
      <c r="I45" s="7"/>
    </row>
    <row r="46" customFormat="false" ht="15" hidden="false" customHeight="false" outlineLevel="0" collapsed="false">
      <c r="A46" s="5" t="s">
        <v>936</v>
      </c>
      <c r="B46" s="5" t="s">
        <v>159</v>
      </c>
      <c r="C46" s="5" t="s">
        <v>812</v>
      </c>
      <c r="D46" s="5" t="s">
        <v>937</v>
      </c>
      <c r="E46" s="5" t="s">
        <v>938</v>
      </c>
      <c r="F46" s="5" t="s">
        <v>40</v>
      </c>
      <c r="G46" s="5"/>
      <c r="H46" s="7"/>
      <c r="I46" s="7"/>
    </row>
    <row r="47" customFormat="false" ht="15" hidden="false" customHeight="false" outlineLevel="0" collapsed="false">
      <c r="A47" s="5" t="s">
        <v>939</v>
      </c>
      <c r="B47" s="5" t="s">
        <v>159</v>
      </c>
      <c r="C47" s="5" t="s">
        <v>812</v>
      </c>
      <c r="D47" s="5" t="s">
        <v>940</v>
      </c>
      <c r="E47" s="5" t="s">
        <v>941</v>
      </c>
      <c r="F47" s="5" t="s">
        <v>36</v>
      </c>
      <c r="G47" s="5"/>
      <c r="H47" s="7"/>
      <c r="I47" s="7"/>
    </row>
    <row r="48" customFormat="false" ht="15" hidden="false" customHeight="false" outlineLevel="0" collapsed="false">
      <c r="A48" s="5" t="s">
        <v>942</v>
      </c>
      <c r="B48" s="5" t="s">
        <v>159</v>
      </c>
      <c r="C48" s="5" t="s">
        <v>812</v>
      </c>
      <c r="D48" s="5" t="s">
        <v>943</v>
      </c>
      <c r="E48" s="5" t="s">
        <v>944</v>
      </c>
      <c r="F48" s="5" t="s">
        <v>36</v>
      </c>
      <c r="G48" s="5"/>
      <c r="H48" s="7"/>
      <c r="I48" s="7"/>
    </row>
    <row r="49" customFormat="false" ht="35.05" hidden="false" customHeight="false" outlineLevel="0" collapsed="false">
      <c r="A49" s="5" t="s">
        <v>945</v>
      </c>
      <c r="B49" s="5" t="s">
        <v>159</v>
      </c>
      <c r="C49" s="5" t="s">
        <v>801</v>
      </c>
      <c r="D49" s="5" t="s">
        <v>946</v>
      </c>
      <c r="E49" s="5" t="s">
        <v>947</v>
      </c>
      <c r="F49" s="5" t="s">
        <v>40</v>
      </c>
      <c r="G49" s="6" t="s">
        <v>436</v>
      </c>
      <c r="H49" s="7"/>
      <c r="I49" s="7"/>
    </row>
    <row r="50" customFormat="false" ht="23.85" hidden="false" customHeight="false" outlineLevel="0" collapsed="false">
      <c r="A50" s="5" t="s">
        <v>948</v>
      </c>
      <c r="B50" s="5" t="s">
        <v>727</v>
      </c>
      <c r="C50" s="5" t="s">
        <v>801</v>
      </c>
      <c r="D50" s="5" t="s">
        <v>949</v>
      </c>
      <c r="E50" s="5" t="s">
        <v>950</v>
      </c>
      <c r="F50" s="5" t="s">
        <v>40</v>
      </c>
      <c r="G50" s="6" t="s">
        <v>804</v>
      </c>
      <c r="H50" s="7"/>
      <c r="I50" s="7"/>
    </row>
    <row r="51" customFormat="false" ht="15" hidden="false" customHeight="false" outlineLevel="0" collapsed="false">
      <c r="A51" s="5" t="s">
        <v>951</v>
      </c>
      <c r="B51" s="5" t="s">
        <v>727</v>
      </c>
      <c r="C51" s="5" t="s">
        <v>801</v>
      </c>
      <c r="D51" s="5" t="s">
        <v>952</v>
      </c>
      <c r="E51" s="5" t="s">
        <v>953</v>
      </c>
      <c r="F51" s="5" t="s">
        <v>40</v>
      </c>
      <c r="G51" s="5"/>
      <c r="H51" s="7"/>
      <c r="I51" s="7"/>
    </row>
    <row r="52" customFormat="false" ht="15" hidden="false" customHeight="false" outlineLevel="0" collapsed="false">
      <c r="A52" s="5" t="s">
        <v>954</v>
      </c>
      <c r="B52" s="5" t="s">
        <v>727</v>
      </c>
      <c r="C52" s="5" t="s">
        <v>812</v>
      </c>
      <c r="D52" s="5" t="s">
        <v>955</v>
      </c>
      <c r="E52" s="5" t="s">
        <v>956</v>
      </c>
      <c r="F52" s="5" t="s">
        <v>40</v>
      </c>
      <c r="G52" s="5"/>
      <c r="H52" s="7"/>
      <c r="I52" s="7"/>
    </row>
    <row r="53" customFormat="false" ht="15" hidden="false" customHeight="false" outlineLevel="0" collapsed="false">
      <c r="A53" s="5" t="s">
        <v>957</v>
      </c>
      <c r="B53" s="5" t="s">
        <v>727</v>
      </c>
      <c r="C53" s="5" t="s">
        <v>812</v>
      </c>
      <c r="D53" s="5" t="s">
        <v>958</v>
      </c>
      <c r="E53" s="5" t="s">
        <v>959</v>
      </c>
      <c r="F53" s="5" t="s">
        <v>40</v>
      </c>
      <c r="G53" s="5"/>
      <c r="H53" s="7"/>
      <c r="I53" s="7"/>
    </row>
  </sheetData>
  <autoFilter ref="A1:I53"/>
  <dataValidations count="1">
    <dataValidation allowBlank="true" errorStyle="stop" operator="between" showDropDown="false" showErrorMessage="false" showInputMessage="false" sqref="H2:H53" type="list">
      <formula1>"Behalten,Streichen,Ändern"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8"/>
    <col collapsed="false" customWidth="true" hidden="false" outlineLevel="0" max="5" min="4" style="0" width="58"/>
    <col collapsed="false" customWidth="true" hidden="false" outlineLevel="0" max="6" min="6" style="0" width="16"/>
    <col collapsed="false" customWidth="true" hidden="false" outlineLevel="0" max="7" min="7" style="0" width="52"/>
    <col collapsed="false" customWidth="true" hidden="false" outlineLevel="0" max="8" min="8" style="0" width="14"/>
    <col collapsed="false" customWidth="true" hidden="false" outlineLevel="0" max="9" min="9" style="0" width="36"/>
  </cols>
  <sheetData>
    <row r="1" customFormat="false" ht="26.85" hidden="false" customHeight="false" outlineLevel="0" collapsed="false">
      <c r="A1" s="4" t="s">
        <v>11</v>
      </c>
      <c r="B1" s="4" t="s">
        <v>12</v>
      </c>
      <c r="C1" s="4" t="s">
        <v>13</v>
      </c>
      <c r="D1" s="4" t="s">
        <v>14</v>
      </c>
      <c r="E1" s="4" t="s">
        <v>15</v>
      </c>
      <c r="F1" s="4" t="s">
        <v>16</v>
      </c>
      <c r="G1" s="4" t="s">
        <v>17</v>
      </c>
      <c r="H1" s="4" t="s">
        <v>18</v>
      </c>
      <c r="I1" s="4" t="s">
        <v>19</v>
      </c>
    </row>
    <row r="2" customFormat="false" ht="15" hidden="false" customHeight="false" outlineLevel="0" collapsed="false">
      <c r="A2" s="5" t="s">
        <v>960</v>
      </c>
      <c r="B2" s="5" t="s">
        <v>254</v>
      </c>
      <c r="C2" s="5"/>
      <c r="D2" s="5" t="s">
        <v>961</v>
      </c>
      <c r="E2" s="5" t="s">
        <v>962</v>
      </c>
      <c r="F2" s="5" t="s">
        <v>29</v>
      </c>
      <c r="G2" s="6" t="s">
        <v>331</v>
      </c>
      <c r="H2" s="7"/>
      <c r="I2" s="7"/>
    </row>
    <row r="3" customFormat="false" ht="15" hidden="false" customHeight="false" outlineLevel="0" collapsed="false">
      <c r="A3" s="5" t="s">
        <v>963</v>
      </c>
      <c r="B3" s="5" t="s">
        <v>254</v>
      </c>
      <c r="C3" s="5"/>
      <c r="D3" s="5" t="s">
        <v>964</v>
      </c>
      <c r="E3" s="5" t="s">
        <v>965</v>
      </c>
      <c r="F3" s="5" t="s">
        <v>40</v>
      </c>
      <c r="G3" s="5"/>
      <c r="H3" s="7"/>
      <c r="I3" s="7"/>
    </row>
    <row r="4" customFormat="false" ht="15" hidden="false" customHeight="false" outlineLevel="0" collapsed="false">
      <c r="A4" s="5" t="s">
        <v>966</v>
      </c>
      <c r="B4" s="5" t="s">
        <v>254</v>
      </c>
      <c r="C4" s="5"/>
      <c r="D4" s="5" t="s">
        <v>967</v>
      </c>
      <c r="E4" s="5" t="s">
        <v>968</v>
      </c>
      <c r="F4" s="5" t="s">
        <v>36</v>
      </c>
      <c r="G4" s="5"/>
      <c r="H4" s="7"/>
      <c r="I4" s="7"/>
    </row>
    <row r="5" customFormat="false" ht="15" hidden="false" customHeight="false" outlineLevel="0" collapsed="false">
      <c r="A5" s="5" t="s">
        <v>969</v>
      </c>
      <c r="B5" s="5" t="s">
        <v>254</v>
      </c>
      <c r="C5" s="5"/>
      <c r="D5" s="5" t="s">
        <v>970</v>
      </c>
      <c r="E5" s="5" t="s">
        <v>971</v>
      </c>
      <c r="F5" s="5" t="s">
        <v>29</v>
      </c>
      <c r="G5" s="5"/>
      <c r="H5" s="7"/>
      <c r="I5" s="7"/>
    </row>
    <row r="6" customFormat="false" ht="15" hidden="false" customHeight="false" outlineLevel="0" collapsed="false">
      <c r="A6" s="5" t="s">
        <v>972</v>
      </c>
      <c r="B6" s="5" t="s">
        <v>254</v>
      </c>
      <c r="C6" s="5"/>
      <c r="D6" s="5" t="s">
        <v>973</v>
      </c>
      <c r="E6" s="5" t="s">
        <v>974</v>
      </c>
      <c r="F6" s="5" t="s">
        <v>40</v>
      </c>
      <c r="G6" s="6" t="s">
        <v>324</v>
      </c>
      <c r="H6" s="7"/>
      <c r="I6" s="7"/>
    </row>
    <row r="7" customFormat="false" ht="15" hidden="false" customHeight="false" outlineLevel="0" collapsed="false">
      <c r="A7" s="5" t="s">
        <v>975</v>
      </c>
      <c r="B7" s="5" t="s">
        <v>254</v>
      </c>
      <c r="C7" s="5"/>
      <c r="D7" s="5" t="s">
        <v>976</v>
      </c>
      <c r="E7" s="5" t="s">
        <v>977</v>
      </c>
      <c r="F7" s="5" t="s">
        <v>29</v>
      </c>
      <c r="G7" s="5"/>
      <c r="H7" s="7"/>
      <c r="I7" s="7"/>
    </row>
    <row r="8" customFormat="false" ht="15" hidden="false" customHeight="false" outlineLevel="0" collapsed="false">
      <c r="A8" s="5" t="s">
        <v>978</v>
      </c>
      <c r="B8" s="5" t="s">
        <v>254</v>
      </c>
      <c r="C8" s="5"/>
      <c r="D8" s="5" t="s">
        <v>979</v>
      </c>
      <c r="E8" s="5" t="s">
        <v>980</v>
      </c>
      <c r="F8" s="5" t="s">
        <v>40</v>
      </c>
      <c r="G8" s="6" t="s">
        <v>308</v>
      </c>
      <c r="H8" s="7"/>
      <c r="I8" s="7"/>
    </row>
    <row r="9" customFormat="false" ht="15" hidden="false" customHeight="false" outlineLevel="0" collapsed="false">
      <c r="A9" s="5" t="s">
        <v>981</v>
      </c>
      <c r="B9" s="5" t="s">
        <v>254</v>
      </c>
      <c r="C9" s="5"/>
      <c r="D9" s="5" t="s">
        <v>982</v>
      </c>
      <c r="E9" s="5" t="s">
        <v>983</v>
      </c>
      <c r="F9" s="5" t="s">
        <v>40</v>
      </c>
      <c r="G9" s="5"/>
      <c r="H9" s="7"/>
      <c r="I9" s="7"/>
    </row>
    <row r="10" customFormat="false" ht="15" hidden="false" customHeight="false" outlineLevel="0" collapsed="false">
      <c r="A10" s="5" t="s">
        <v>984</v>
      </c>
      <c r="B10" s="5" t="s">
        <v>59</v>
      </c>
      <c r="C10" s="5"/>
      <c r="D10" s="5" t="s">
        <v>985</v>
      </c>
      <c r="E10" s="5" t="s">
        <v>986</v>
      </c>
      <c r="F10" s="5" t="s">
        <v>36</v>
      </c>
      <c r="G10" s="6" t="s">
        <v>62</v>
      </c>
      <c r="H10" s="7"/>
      <c r="I10" s="7"/>
    </row>
    <row r="11" customFormat="false" ht="15" hidden="false" customHeight="false" outlineLevel="0" collapsed="false">
      <c r="A11" s="5" t="s">
        <v>987</v>
      </c>
      <c r="B11" s="5" t="s">
        <v>59</v>
      </c>
      <c r="C11" s="5"/>
      <c r="D11" s="5" t="s">
        <v>988</v>
      </c>
      <c r="E11" s="5" t="s">
        <v>989</v>
      </c>
      <c r="F11" s="5" t="s">
        <v>40</v>
      </c>
      <c r="G11" s="5"/>
      <c r="H11" s="7"/>
      <c r="I11" s="7"/>
    </row>
    <row r="12" customFormat="false" ht="15" hidden="false" customHeight="false" outlineLevel="0" collapsed="false">
      <c r="A12" s="5" t="s">
        <v>990</v>
      </c>
      <c r="B12" s="5" t="s">
        <v>59</v>
      </c>
      <c r="C12" s="5"/>
      <c r="D12" s="5" t="s">
        <v>991</v>
      </c>
      <c r="E12" s="5" t="s">
        <v>992</v>
      </c>
      <c r="F12" s="5" t="s">
        <v>36</v>
      </c>
      <c r="G12" s="5"/>
      <c r="H12" s="7"/>
      <c r="I12" s="7"/>
    </row>
    <row r="13" customFormat="false" ht="15" hidden="false" customHeight="false" outlineLevel="0" collapsed="false">
      <c r="A13" s="5" t="s">
        <v>993</v>
      </c>
      <c r="B13" s="5" t="s">
        <v>59</v>
      </c>
      <c r="C13" s="5"/>
      <c r="D13" s="5" t="s">
        <v>994</v>
      </c>
      <c r="E13" s="5" t="s">
        <v>995</v>
      </c>
      <c r="F13" s="5" t="s">
        <v>40</v>
      </c>
      <c r="G13" s="5"/>
      <c r="H13" s="7"/>
      <c r="I13" s="7"/>
    </row>
    <row r="14" customFormat="false" ht="15" hidden="false" customHeight="false" outlineLevel="0" collapsed="false">
      <c r="A14" s="5" t="s">
        <v>996</v>
      </c>
      <c r="B14" s="5" t="s">
        <v>59</v>
      </c>
      <c r="C14" s="5"/>
      <c r="D14" s="5" t="s">
        <v>997</v>
      </c>
      <c r="E14" s="5" t="s">
        <v>998</v>
      </c>
      <c r="F14" s="5" t="s">
        <v>40</v>
      </c>
      <c r="G14" s="5"/>
      <c r="H14" s="7"/>
      <c r="I14" s="7"/>
    </row>
    <row r="15" customFormat="false" ht="15" hidden="false" customHeight="false" outlineLevel="0" collapsed="false">
      <c r="A15" s="5" t="s">
        <v>999</v>
      </c>
      <c r="B15" s="5" t="s">
        <v>59</v>
      </c>
      <c r="C15" s="5"/>
      <c r="D15" s="5" t="s">
        <v>1000</v>
      </c>
      <c r="E15" s="5" t="s">
        <v>1001</v>
      </c>
      <c r="F15" s="5" t="s">
        <v>36</v>
      </c>
      <c r="G15" s="6" t="s">
        <v>70</v>
      </c>
      <c r="H15" s="7"/>
      <c r="I15" s="7"/>
    </row>
    <row r="16" customFormat="false" ht="15" hidden="false" customHeight="false" outlineLevel="0" collapsed="false">
      <c r="A16" s="5" t="s">
        <v>1002</v>
      </c>
      <c r="B16" s="5" t="s">
        <v>59</v>
      </c>
      <c r="C16" s="5"/>
      <c r="D16" s="5" t="s">
        <v>1003</v>
      </c>
      <c r="E16" s="5" t="s">
        <v>1004</v>
      </c>
      <c r="F16" s="5" t="s">
        <v>40</v>
      </c>
      <c r="G16" s="5"/>
      <c r="H16" s="7"/>
      <c r="I16" s="7"/>
    </row>
    <row r="17" customFormat="false" ht="15" hidden="false" customHeight="false" outlineLevel="0" collapsed="false">
      <c r="A17" s="5" t="s">
        <v>1005</v>
      </c>
      <c r="B17" s="5" t="s">
        <v>59</v>
      </c>
      <c r="C17" s="5"/>
      <c r="D17" s="5" t="s">
        <v>1006</v>
      </c>
      <c r="E17" s="5" t="s">
        <v>1007</v>
      </c>
      <c r="F17" s="5" t="s">
        <v>40</v>
      </c>
      <c r="G17" s="5"/>
      <c r="H17" s="7"/>
      <c r="I17" s="7"/>
    </row>
    <row r="18" customFormat="false" ht="15" hidden="false" customHeight="false" outlineLevel="0" collapsed="false">
      <c r="A18" s="5" t="s">
        <v>1008</v>
      </c>
      <c r="B18" s="5" t="s">
        <v>159</v>
      </c>
      <c r="C18" s="5"/>
      <c r="D18" s="5" t="s">
        <v>1009</v>
      </c>
      <c r="E18" s="5" t="s">
        <v>1010</v>
      </c>
      <c r="F18" s="5" t="s">
        <v>36</v>
      </c>
      <c r="G18" s="5"/>
      <c r="H18" s="7"/>
      <c r="I18" s="7"/>
    </row>
    <row r="19" customFormat="false" ht="15" hidden="false" customHeight="false" outlineLevel="0" collapsed="false">
      <c r="A19" s="5" t="s">
        <v>1011</v>
      </c>
      <c r="B19" s="5" t="s">
        <v>159</v>
      </c>
      <c r="C19" s="5"/>
      <c r="D19" s="5" t="s">
        <v>1012</v>
      </c>
      <c r="E19" s="5" t="s">
        <v>1013</v>
      </c>
      <c r="F19" s="5" t="s">
        <v>36</v>
      </c>
      <c r="G19" s="5"/>
      <c r="H19" s="7"/>
      <c r="I19" s="7"/>
    </row>
    <row r="20" customFormat="false" ht="15" hidden="false" customHeight="false" outlineLevel="0" collapsed="false">
      <c r="A20" s="5" t="s">
        <v>1014</v>
      </c>
      <c r="B20" s="5" t="s">
        <v>159</v>
      </c>
      <c r="C20" s="5"/>
      <c r="D20" s="5" t="s">
        <v>1015</v>
      </c>
      <c r="E20" s="5" t="s">
        <v>1016</v>
      </c>
      <c r="F20" s="5" t="s">
        <v>36</v>
      </c>
      <c r="G20" s="5"/>
      <c r="H20" s="7"/>
      <c r="I20" s="7"/>
    </row>
    <row r="21" customFormat="false" ht="15" hidden="false" customHeight="false" outlineLevel="0" collapsed="false">
      <c r="A21" s="5" t="s">
        <v>1017</v>
      </c>
      <c r="B21" s="5" t="s">
        <v>159</v>
      </c>
      <c r="C21" s="5"/>
      <c r="D21" s="5" t="s">
        <v>1018</v>
      </c>
      <c r="E21" s="5" t="s">
        <v>1019</v>
      </c>
      <c r="F21" s="5" t="s">
        <v>36</v>
      </c>
      <c r="G21" s="6" t="s">
        <v>233</v>
      </c>
      <c r="H21" s="7"/>
      <c r="I21" s="7"/>
    </row>
    <row r="22" customFormat="false" ht="15" hidden="false" customHeight="false" outlineLevel="0" collapsed="false">
      <c r="A22" s="5" t="s">
        <v>1020</v>
      </c>
      <c r="B22" s="5" t="s">
        <v>159</v>
      </c>
      <c r="C22" s="5"/>
      <c r="D22" s="5" t="s">
        <v>1021</v>
      </c>
      <c r="E22" s="5" t="s">
        <v>1022</v>
      </c>
      <c r="F22" s="5" t="s">
        <v>29</v>
      </c>
      <c r="G22" s="5"/>
      <c r="H22" s="7"/>
      <c r="I22" s="7"/>
    </row>
    <row r="23" customFormat="false" ht="15" hidden="false" customHeight="false" outlineLevel="0" collapsed="false">
      <c r="A23" s="5" t="s">
        <v>1023</v>
      </c>
      <c r="B23" s="5" t="s">
        <v>159</v>
      </c>
      <c r="C23" s="5"/>
      <c r="D23" s="5" t="s">
        <v>1024</v>
      </c>
      <c r="E23" s="5" t="s">
        <v>1025</v>
      </c>
      <c r="F23" s="5" t="s">
        <v>36</v>
      </c>
      <c r="G23" s="5"/>
      <c r="H23" s="7"/>
      <c r="I23" s="7"/>
    </row>
    <row r="24" customFormat="false" ht="15" hidden="false" customHeight="false" outlineLevel="0" collapsed="false">
      <c r="A24" s="5" t="s">
        <v>1026</v>
      </c>
      <c r="B24" s="5" t="s">
        <v>159</v>
      </c>
      <c r="C24" s="5"/>
      <c r="D24" s="5" t="s">
        <v>1027</v>
      </c>
      <c r="E24" s="5" t="s">
        <v>1028</v>
      </c>
      <c r="F24" s="5" t="s">
        <v>40</v>
      </c>
      <c r="G24" s="6" t="s">
        <v>122</v>
      </c>
      <c r="H24" s="7"/>
      <c r="I24" s="7"/>
    </row>
    <row r="25" customFormat="false" ht="15" hidden="false" customHeight="false" outlineLevel="0" collapsed="false">
      <c r="A25" s="5" t="s">
        <v>1029</v>
      </c>
      <c r="B25" s="5" t="s">
        <v>159</v>
      </c>
      <c r="C25" s="5"/>
      <c r="D25" s="5" t="s">
        <v>1030</v>
      </c>
      <c r="E25" s="5" t="s">
        <v>1031</v>
      </c>
      <c r="F25" s="5" t="s">
        <v>36</v>
      </c>
      <c r="G25" s="6" t="s">
        <v>243</v>
      </c>
      <c r="H25" s="7"/>
      <c r="I25" s="7"/>
    </row>
    <row r="26" customFormat="false" ht="15" hidden="false" customHeight="false" outlineLevel="0" collapsed="false">
      <c r="A26" s="5" t="s">
        <v>1032</v>
      </c>
      <c r="B26" s="5" t="s">
        <v>412</v>
      </c>
      <c r="C26" s="5"/>
      <c r="D26" s="5" t="s">
        <v>1033</v>
      </c>
      <c r="E26" s="5" t="s">
        <v>1034</v>
      </c>
      <c r="F26" s="5" t="s">
        <v>40</v>
      </c>
      <c r="G26" s="5"/>
      <c r="H26" s="7"/>
      <c r="I26" s="7"/>
    </row>
    <row r="27" customFormat="false" ht="15" hidden="false" customHeight="false" outlineLevel="0" collapsed="false">
      <c r="A27" s="5" t="s">
        <v>1035</v>
      </c>
      <c r="B27" s="5" t="s">
        <v>412</v>
      </c>
      <c r="C27" s="5"/>
      <c r="D27" s="5" t="s">
        <v>1036</v>
      </c>
      <c r="E27" s="5" t="s">
        <v>1037</v>
      </c>
      <c r="F27" s="5" t="s">
        <v>40</v>
      </c>
      <c r="G27" s="5"/>
      <c r="H27" s="7"/>
      <c r="I27" s="7"/>
    </row>
    <row r="28" customFormat="false" ht="15" hidden="false" customHeight="false" outlineLevel="0" collapsed="false">
      <c r="A28" s="5" t="s">
        <v>1038</v>
      </c>
      <c r="B28" s="5" t="s">
        <v>412</v>
      </c>
      <c r="C28" s="5"/>
      <c r="D28" s="5" t="s">
        <v>1039</v>
      </c>
      <c r="E28" s="5" t="s">
        <v>1040</v>
      </c>
      <c r="F28" s="5" t="s">
        <v>40</v>
      </c>
      <c r="G28" s="6" t="s">
        <v>151</v>
      </c>
      <c r="H28" s="7"/>
      <c r="I28" s="7"/>
    </row>
    <row r="29" customFormat="false" ht="15" hidden="false" customHeight="false" outlineLevel="0" collapsed="false">
      <c r="A29" s="5" t="s">
        <v>1041</v>
      </c>
      <c r="B29" s="5" t="s">
        <v>412</v>
      </c>
      <c r="C29" s="5"/>
      <c r="D29" s="5" t="s">
        <v>1042</v>
      </c>
      <c r="E29" s="5" t="s">
        <v>1043</v>
      </c>
      <c r="F29" s="5" t="s">
        <v>47</v>
      </c>
      <c r="G29" s="6" t="s">
        <v>476</v>
      </c>
      <c r="H29" s="7"/>
      <c r="I29" s="7"/>
    </row>
    <row r="30" customFormat="false" ht="15" hidden="false" customHeight="false" outlineLevel="0" collapsed="false">
      <c r="A30" s="5" t="s">
        <v>1044</v>
      </c>
      <c r="B30" s="5" t="s">
        <v>412</v>
      </c>
      <c r="C30" s="5"/>
      <c r="D30" s="5" t="s">
        <v>1045</v>
      </c>
      <c r="E30" s="5" t="s">
        <v>1046</v>
      </c>
      <c r="F30" s="5" t="s">
        <v>40</v>
      </c>
      <c r="G30" s="5"/>
      <c r="H30" s="7"/>
      <c r="I30" s="7"/>
    </row>
    <row r="31" customFormat="false" ht="15" hidden="false" customHeight="false" outlineLevel="0" collapsed="false">
      <c r="A31" s="5" t="s">
        <v>1047</v>
      </c>
      <c r="B31" s="5" t="s">
        <v>412</v>
      </c>
      <c r="C31" s="5"/>
      <c r="D31" s="5" t="s">
        <v>1048</v>
      </c>
      <c r="E31" s="5" t="s">
        <v>1049</v>
      </c>
      <c r="F31" s="5" t="s">
        <v>40</v>
      </c>
      <c r="G31" s="5"/>
      <c r="H31" s="7"/>
      <c r="I31" s="7"/>
    </row>
    <row r="32" customFormat="false" ht="15" hidden="false" customHeight="false" outlineLevel="0" collapsed="false">
      <c r="A32" s="5" t="s">
        <v>1050</v>
      </c>
      <c r="B32" s="5" t="s">
        <v>412</v>
      </c>
      <c r="C32" s="5"/>
      <c r="D32" s="5" t="s">
        <v>1051</v>
      </c>
      <c r="E32" s="5" t="s">
        <v>1052</v>
      </c>
      <c r="F32" s="5" t="s">
        <v>40</v>
      </c>
      <c r="G32" s="5"/>
      <c r="H32" s="7"/>
      <c r="I32" s="7"/>
    </row>
    <row r="33" customFormat="false" ht="15" hidden="false" customHeight="false" outlineLevel="0" collapsed="false">
      <c r="A33" s="5" t="s">
        <v>1053</v>
      </c>
      <c r="B33" s="5" t="s">
        <v>412</v>
      </c>
      <c r="C33" s="5"/>
      <c r="D33" s="5" t="s">
        <v>1054</v>
      </c>
      <c r="E33" s="5" t="s">
        <v>1055</v>
      </c>
      <c r="F33" s="5" t="s">
        <v>40</v>
      </c>
      <c r="G33" s="5"/>
      <c r="H33" s="7"/>
      <c r="I33" s="7"/>
    </row>
    <row r="34" customFormat="false" ht="15" hidden="false" customHeight="false" outlineLevel="0" collapsed="false">
      <c r="A34" s="5" t="s">
        <v>1056</v>
      </c>
      <c r="B34" s="5" t="s">
        <v>505</v>
      </c>
      <c r="C34" s="5"/>
      <c r="D34" s="5" t="s">
        <v>1057</v>
      </c>
      <c r="E34" s="5" t="s">
        <v>1058</v>
      </c>
      <c r="F34" s="5" t="s">
        <v>40</v>
      </c>
      <c r="G34" s="5"/>
      <c r="H34" s="7"/>
      <c r="I34" s="7"/>
    </row>
    <row r="35" customFormat="false" ht="15" hidden="false" customHeight="false" outlineLevel="0" collapsed="false">
      <c r="A35" s="5" t="s">
        <v>1059</v>
      </c>
      <c r="B35" s="5" t="s">
        <v>505</v>
      </c>
      <c r="C35" s="5"/>
      <c r="D35" s="5" t="s">
        <v>1060</v>
      </c>
      <c r="E35" s="5" t="s">
        <v>1061</v>
      </c>
      <c r="F35" s="5" t="s">
        <v>36</v>
      </c>
      <c r="G35" s="5"/>
      <c r="H35" s="7"/>
      <c r="I35" s="7"/>
    </row>
    <row r="36" customFormat="false" ht="15" hidden="false" customHeight="false" outlineLevel="0" collapsed="false">
      <c r="A36" s="5" t="s">
        <v>1062</v>
      </c>
      <c r="B36" s="5" t="s">
        <v>505</v>
      </c>
      <c r="C36" s="5"/>
      <c r="D36" s="5" t="s">
        <v>1063</v>
      </c>
      <c r="E36" s="5" t="s">
        <v>1064</v>
      </c>
      <c r="F36" s="5" t="s">
        <v>40</v>
      </c>
      <c r="G36" s="6" t="s">
        <v>553</v>
      </c>
      <c r="H36" s="7"/>
      <c r="I36" s="7"/>
    </row>
    <row r="37" customFormat="false" ht="15" hidden="false" customHeight="false" outlineLevel="0" collapsed="false">
      <c r="A37" s="5" t="s">
        <v>1065</v>
      </c>
      <c r="B37" s="5" t="s">
        <v>505</v>
      </c>
      <c r="C37" s="5"/>
      <c r="D37" s="5" t="s">
        <v>1066</v>
      </c>
      <c r="E37" s="5" t="s">
        <v>1067</v>
      </c>
      <c r="F37" s="5" t="s">
        <v>40</v>
      </c>
      <c r="G37" s="5"/>
      <c r="H37" s="7"/>
      <c r="I37" s="7"/>
    </row>
    <row r="38" customFormat="false" ht="15" hidden="false" customHeight="false" outlineLevel="0" collapsed="false">
      <c r="A38" s="5" t="s">
        <v>1068</v>
      </c>
      <c r="B38" s="5" t="s">
        <v>505</v>
      </c>
      <c r="C38" s="5"/>
      <c r="D38" s="5" t="s">
        <v>1069</v>
      </c>
      <c r="E38" s="5" t="s">
        <v>1070</v>
      </c>
      <c r="F38" s="5" t="s">
        <v>40</v>
      </c>
      <c r="G38" s="6" t="s">
        <v>563</v>
      </c>
      <c r="H38" s="7"/>
      <c r="I38" s="7"/>
    </row>
    <row r="39" customFormat="false" ht="15" hidden="false" customHeight="false" outlineLevel="0" collapsed="false">
      <c r="A39" s="5" t="s">
        <v>1071</v>
      </c>
      <c r="B39" s="5" t="s">
        <v>505</v>
      </c>
      <c r="C39" s="5"/>
      <c r="D39" s="5" t="s">
        <v>1072</v>
      </c>
      <c r="E39" s="5" t="s">
        <v>1073</v>
      </c>
      <c r="F39" s="5" t="s">
        <v>47</v>
      </c>
      <c r="G39" s="5"/>
      <c r="H39" s="7"/>
      <c r="I39" s="7"/>
    </row>
    <row r="40" customFormat="false" ht="15" hidden="false" customHeight="false" outlineLevel="0" collapsed="false">
      <c r="A40" s="5" t="s">
        <v>1074</v>
      </c>
      <c r="B40" s="5" t="s">
        <v>505</v>
      </c>
      <c r="C40" s="5"/>
      <c r="D40" s="5" t="s">
        <v>1075</v>
      </c>
      <c r="E40" s="5" t="s">
        <v>1076</v>
      </c>
      <c r="F40" s="5" t="s">
        <v>150</v>
      </c>
      <c r="G40" s="5"/>
      <c r="H40" s="7"/>
      <c r="I40" s="7"/>
    </row>
    <row r="41" customFormat="false" ht="15" hidden="false" customHeight="false" outlineLevel="0" collapsed="false">
      <c r="A41" s="5" t="s">
        <v>1077</v>
      </c>
      <c r="B41" s="5" t="s">
        <v>505</v>
      </c>
      <c r="C41" s="5"/>
      <c r="D41" s="5" t="s">
        <v>1078</v>
      </c>
      <c r="E41" s="5" t="s">
        <v>1079</v>
      </c>
      <c r="F41" s="5" t="s">
        <v>29</v>
      </c>
      <c r="G41" s="5"/>
      <c r="H41" s="7"/>
      <c r="I41" s="7"/>
    </row>
    <row r="42" customFormat="false" ht="15" hidden="false" customHeight="false" outlineLevel="0" collapsed="false">
      <c r="A42" s="5" t="s">
        <v>1080</v>
      </c>
      <c r="B42" s="5" t="s">
        <v>632</v>
      </c>
      <c r="C42" s="5"/>
      <c r="D42" s="5" t="s">
        <v>1081</v>
      </c>
      <c r="E42" s="5" t="s">
        <v>1082</v>
      </c>
      <c r="F42" s="5" t="s">
        <v>40</v>
      </c>
      <c r="G42" s="5"/>
      <c r="H42" s="7"/>
      <c r="I42" s="7"/>
    </row>
    <row r="43" customFormat="false" ht="15" hidden="false" customHeight="false" outlineLevel="0" collapsed="false">
      <c r="A43" s="5" t="s">
        <v>1083</v>
      </c>
      <c r="B43" s="5" t="s">
        <v>632</v>
      </c>
      <c r="C43" s="5"/>
      <c r="D43" s="5" t="s">
        <v>1084</v>
      </c>
      <c r="E43" s="5" t="s">
        <v>1085</v>
      </c>
      <c r="F43" s="5" t="s">
        <v>150</v>
      </c>
      <c r="G43" s="5"/>
      <c r="H43" s="7"/>
      <c r="I43" s="7"/>
    </row>
    <row r="44" customFormat="false" ht="23.85" hidden="false" customHeight="false" outlineLevel="0" collapsed="false">
      <c r="A44" s="5" t="s">
        <v>1086</v>
      </c>
      <c r="B44" s="5" t="s">
        <v>632</v>
      </c>
      <c r="C44" s="5"/>
      <c r="D44" s="5" t="s">
        <v>1087</v>
      </c>
      <c r="E44" s="5" t="s">
        <v>1088</v>
      </c>
      <c r="F44" s="5" t="s">
        <v>40</v>
      </c>
      <c r="G44" s="6" t="s">
        <v>1089</v>
      </c>
      <c r="H44" s="7"/>
      <c r="I44" s="7"/>
    </row>
    <row r="45" customFormat="false" ht="15" hidden="false" customHeight="false" outlineLevel="0" collapsed="false">
      <c r="A45" s="5" t="s">
        <v>1090</v>
      </c>
      <c r="B45" s="5" t="s">
        <v>632</v>
      </c>
      <c r="C45" s="5"/>
      <c r="D45" s="5" t="s">
        <v>1091</v>
      </c>
      <c r="E45" s="5" t="s">
        <v>1092</v>
      </c>
      <c r="F45" s="5" t="s">
        <v>150</v>
      </c>
      <c r="G45" s="5"/>
      <c r="H45" s="7"/>
      <c r="I45" s="7"/>
    </row>
    <row r="46" customFormat="false" ht="15" hidden="false" customHeight="false" outlineLevel="0" collapsed="false">
      <c r="A46" s="5" t="s">
        <v>1093</v>
      </c>
      <c r="B46" s="5" t="s">
        <v>632</v>
      </c>
      <c r="C46" s="5"/>
      <c r="D46" s="5" t="s">
        <v>1094</v>
      </c>
      <c r="E46" s="5" t="s">
        <v>1095</v>
      </c>
      <c r="F46" s="5" t="s">
        <v>40</v>
      </c>
      <c r="G46" s="6" t="s">
        <v>690</v>
      </c>
      <c r="H46" s="7"/>
      <c r="I46" s="7"/>
    </row>
    <row r="47" customFormat="false" ht="15" hidden="false" customHeight="false" outlineLevel="0" collapsed="false">
      <c r="A47" s="5" t="s">
        <v>1096</v>
      </c>
      <c r="B47" s="5" t="s">
        <v>632</v>
      </c>
      <c r="C47" s="5"/>
      <c r="D47" s="5" t="s">
        <v>1097</v>
      </c>
      <c r="E47" s="5" t="s">
        <v>1098</v>
      </c>
      <c r="F47" s="5" t="s">
        <v>24</v>
      </c>
      <c r="G47" s="5"/>
      <c r="H47" s="7"/>
      <c r="I47" s="7"/>
    </row>
    <row r="48" customFormat="false" ht="15" hidden="false" customHeight="false" outlineLevel="0" collapsed="false">
      <c r="A48" s="5" t="s">
        <v>1099</v>
      </c>
      <c r="B48" s="5" t="s">
        <v>632</v>
      </c>
      <c r="C48" s="5"/>
      <c r="D48" s="5" t="s">
        <v>1100</v>
      </c>
      <c r="E48" s="5" t="s">
        <v>1101</v>
      </c>
      <c r="F48" s="5" t="s">
        <v>40</v>
      </c>
      <c r="G48" s="5"/>
      <c r="H48" s="7"/>
      <c r="I48" s="7"/>
    </row>
    <row r="49" customFormat="false" ht="15" hidden="false" customHeight="false" outlineLevel="0" collapsed="false">
      <c r="A49" s="5" t="s">
        <v>1102</v>
      </c>
      <c r="B49" s="5" t="s">
        <v>632</v>
      </c>
      <c r="C49" s="5"/>
      <c r="D49" s="5" t="s">
        <v>1103</v>
      </c>
      <c r="E49" s="5" t="s">
        <v>1104</v>
      </c>
      <c r="F49" s="5" t="s">
        <v>47</v>
      </c>
      <c r="G49" s="6" t="s">
        <v>698</v>
      </c>
      <c r="H49" s="7"/>
      <c r="I49" s="7"/>
    </row>
    <row r="50" customFormat="false" ht="15" hidden="false" customHeight="false" outlineLevel="0" collapsed="false">
      <c r="A50" s="5" t="s">
        <v>1105</v>
      </c>
      <c r="B50" s="5" t="s">
        <v>727</v>
      </c>
      <c r="C50" s="5"/>
      <c r="D50" s="5" t="s">
        <v>1106</v>
      </c>
      <c r="E50" s="5" t="s">
        <v>1107</v>
      </c>
      <c r="F50" s="5" t="s">
        <v>40</v>
      </c>
      <c r="G50" s="5"/>
      <c r="H50" s="7"/>
      <c r="I50" s="7"/>
    </row>
    <row r="51" customFormat="false" ht="15" hidden="false" customHeight="false" outlineLevel="0" collapsed="false">
      <c r="A51" s="5" t="s">
        <v>1108</v>
      </c>
      <c r="B51" s="5" t="s">
        <v>727</v>
      </c>
      <c r="C51" s="5"/>
      <c r="D51" s="5" t="s">
        <v>1109</v>
      </c>
      <c r="E51" s="5" t="s">
        <v>1110</v>
      </c>
      <c r="F51" s="5" t="s">
        <v>40</v>
      </c>
      <c r="G51" s="6" t="s">
        <v>799</v>
      </c>
      <c r="H51" s="7"/>
      <c r="I51" s="7"/>
    </row>
    <row r="52" customFormat="false" ht="15" hidden="false" customHeight="false" outlineLevel="0" collapsed="false">
      <c r="A52" s="5" t="s">
        <v>1111</v>
      </c>
      <c r="B52" s="5" t="s">
        <v>727</v>
      </c>
      <c r="C52" s="5"/>
      <c r="D52" s="5" t="s">
        <v>1112</v>
      </c>
      <c r="E52" s="5" t="s">
        <v>1113</v>
      </c>
      <c r="F52" s="5" t="s">
        <v>40</v>
      </c>
      <c r="G52" s="5"/>
      <c r="H52" s="7"/>
      <c r="I52" s="7"/>
    </row>
    <row r="53" customFormat="false" ht="15" hidden="false" customHeight="false" outlineLevel="0" collapsed="false">
      <c r="A53" s="5" t="s">
        <v>1114</v>
      </c>
      <c r="B53" s="5" t="s">
        <v>727</v>
      </c>
      <c r="C53" s="5"/>
      <c r="D53" s="5" t="s">
        <v>1115</v>
      </c>
      <c r="E53" s="5" t="s">
        <v>1116</v>
      </c>
      <c r="F53" s="5" t="s">
        <v>40</v>
      </c>
      <c r="G53" s="5"/>
      <c r="H53" s="7"/>
      <c r="I53" s="7"/>
    </row>
    <row r="54" customFormat="false" ht="15" hidden="false" customHeight="false" outlineLevel="0" collapsed="false">
      <c r="A54" s="5" t="s">
        <v>1117</v>
      </c>
      <c r="B54" s="5" t="s">
        <v>727</v>
      </c>
      <c r="C54" s="5"/>
      <c r="D54" s="5" t="s">
        <v>1118</v>
      </c>
      <c r="E54" s="5" t="s">
        <v>1119</v>
      </c>
      <c r="F54" s="5" t="s">
        <v>24</v>
      </c>
      <c r="G54" s="6" t="s">
        <v>694</v>
      </c>
      <c r="H54" s="7"/>
      <c r="I54" s="7"/>
    </row>
    <row r="55" customFormat="false" ht="15" hidden="false" customHeight="false" outlineLevel="0" collapsed="false">
      <c r="A55" s="5" t="s">
        <v>1120</v>
      </c>
      <c r="B55" s="5" t="s">
        <v>727</v>
      </c>
      <c r="C55" s="5"/>
      <c r="D55" s="5" t="s">
        <v>1121</v>
      </c>
      <c r="E55" s="5" t="s">
        <v>1122</v>
      </c>
      <c r="F55" s="5" t="s">
        <v>40</v>
      </c>
      <c r="G55" s="5"/>
      <c r="H55" s="7"/>
      <c r="I55" s="7"/>
    </row>
    <row r="56" customFormat="false" ht="15" hidden="false" customHeight="false" outlineLevel="0" collapsed="false">
      <c r="A56" s="5" t="s">
        <v>1123</v>
      </c>
      <c r="B56" s="5" t="s">
        <v>727</v>
      </c>
      <c r="C56" s="5"/>
      <c r="D56" s="5" t="s">
        <v>1124</v>
      </c>
      <c r="E56" s="5" t="s">
        <v>1125</v>
      </c>
      <c r="F56" s="5" t="s">
        <v>150</v>
      </c>
      <c r="G56" s="5"/>
      <c r="H56" s="7"/>
      <c r="I56" s="7"/>
    </row>
    <row r="57" customFormat="false" ht="15" hidden="false" customHeight="false" outlineLevel="0" collapsed="false">
      <c r="A57" s="5" t="s">
        <v>1126</v>
      </c>
      <c r="B57" s="5" t="s">
        <v>727</v>
      </c>
      <c r="C57" s="5"/>
      <c r="D57" s="5" t="s">
        <v>1127</v>
      </c>
      <c r="E57" s="5" t="s">
        <v>1128</v>
      </c>
      <c r="F57" s="5" t="s">
        <v>36</v>
      </c>
      <c r="G57" s="5"/>
      <c r="H57" s="7"/>
      <c r="I57" s="7"/>
    </row>
  </sheetData>
  <autoFilter ref="A1:I57"/>
  <dataValidations count="1">
    <dataValidation allowBlank="true" errorStyle="stop" operator="between" showDropDown="false" showErrorMessage="false" showInputMessage="false" sqref="H2:H57" type="list">
      <formula1>"Behalten,Streichen,Ändern"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8"/>
    <col collapsed="false" customWidth="true" hidden="false" outlineLevel="0" max="4" min="4" style="0" width="70"/>
    <col collapsed="false" customWidth="true" hidden="false" outlineLevel="0" max="5" min="5" style="0" width="14"/>
    <col collapsed="false" customWidth="true" hidden="false" outlineLevel="0" max="6" min="6" style="0" width="40"/>
  </cols>
  <sheetData>
    <row r="1" customFormat="false" ht="15" hidden="false" customHeight="false" outlineLevel="0" collapsed="false">
      <c r="A1" s="8" t="s">
        <v>11</v>
      </c>
      <c r="B1" s="8" t="s">
        <v>12</v>
      </c>
      <c r="C1" s="8" t="s">
        <v>16</v>
      </c>
      <c r="D1" s="8" t="s">
        <v>14</v>
      </c>
      <c r="E1" s="8" t="s">
        <v>18</v>
      </c>
      <c r="F1" s="8" t="s">
        <v>19</v>
      </c>
    </row>
    <row r="2" customFormat="false" ht="15" hidden="false" customHeight="false" outlineLevel="0" collapsed="false">
      <c r="A2" s="5" t="s">
        <v>1129</v>
      </c>
      <c r="B2" s="5" t="s">
        <v>727</v>
      </c>
      <c r="C2" s="5" t="s">
        <v>47</v>
      </c>
      <c r="D2" s="5" t="s">
        <v>1130</v>
      </c>
      <c r="E2" s="7"/>
      <c r="F2" s="7"/>
    </row>
    <row r="3" customFormat="false" ht="15" hidden="false" customHeight="false" outlineLevel="0" collapsed="false">
      <c r="A3" s="5" t="s">
        <v>1131</v>
      </c>
      <c r="B3" s="5" t="s">
        <v>727</v>
      </c>
      <c r="C3" s="5" t="s">
        <v>40</v>
      </c>
      <c r="D3" s="5" t="s">
        <v>1132</v>
      </c>
      <c r="E3" s="7"/>
      <c r="F3" s="7"/>
    </row>
    <row r="4" customFormat="false" ht="15" hidden="false" customHeight="false" outlineLevel="0" collapsed="false">
      <c r="A4" s="5" t="s">
        <v>1133</v>
      </c>
      <c r="B4" s="5" t="s">
        <v>727</v>
      </c>
      <c r="C4" s="5" t="s">
        <v>150</v>
      </c>
      <c r="D4" s="5" t="s">
        <v>1134</v>
      </c>
      <c r="E4" s="7"/>
      <c r="F4" s="7"/>
    </row>
    <row r="5" customFormat="false" ht="15" hidden="false" customHeight="false" outlineLevel="0" collapsed="false">
      <c r="A5" s="5" t="s">
        <v>1135</v>
      </c>
      <c r="B5" s="5" t="s">
        <v>727</v>
      </c>
      <c r="C5" s="5" t="s">
        <v>47</v>
      </c>
      <c r="D5" s="5" t="s">
        <v>1136</v>
      </c>
      <c r="E5" s="7"/>
      <c r="F5" s="7"/>
    </row>
    <row r="6" customFormat="false" ht="15" hidden="false" customHeight="false" outlineLevel="0" collapsed="false">
      <c r="A6" s="5" t="s">
        <v>1137</v>
      </c>
      <c r="B6" s="5" t="s">
        <v>727</v>
      </c>
      <c r="C6" s="5" t="s">
        <v>150</v>
      </c>
      <c r="D6" s="5" t="s">
        <v>1138</v>
      </c>
      <c r="E6" s="7"/>
      <c r="F6" s="7"/>
    </row>
    <row r="7" customFormat="false" ht="15" hidden="false" customHeight="false" outlineLevel="0" collapsed="false">
      <c r="A7" s="5" t="s">
        <v>1139</v>
      </c>
      <c r="B7" s="5" t="s">
        <v>727</v>
      </c>
      <c r="C7" s="5" t="s">
        <v>24</v>
      </c>
      <c r="D7" s="5" t="s">
        <v>1140</v>
      </c>
      <c r="E7" s="7"/>
      <c r="F7" s="7"/>
    </row>
    <row r="8" customFormat="false" ht="15" hidden="false" customHeight="false" outlineLevel="0" collapsed="false">
      <c r="A8" s="5" t="s">
        <v>1141</v>
      </c>
      <c r="B8" s="5" t="s">
        <v>727</v>
      </c>
      <c r="C8" s="5" t="s">
        <v>47</v>
      </c>
      <c r="D8" s="5" t="s">
        <v>1142</v>
      </c>
      <c r="E8" s="7"/>
      <c r="F8" s="7"/>
    </row>
    <row r="9" customFormat="false" ht="15" hidden="false" customHeight="false" outlineLevel="0" collapsed="false">
      <c r="A9" s="5" t="s">
        <v>1143</v>
      </c>
      <c r="B9" s="5" t="s">
        <v>727</v>
      </c>
      <c r="C9" s="5" t="s">
        <v>29</v>
      </c>
      <c r="D9" s="5" t="s">
        <v>1144</v>
      </c>
      <c r="E9" s="7"/>
      <c r="F9" s="7"/>
    </row>
    <row r="10" customFormat="false" ht="23.85" hidden="false" customHeight="false" outlineLevel="0" collapsed="false">
      <c r="A10" s="5" t="s">
        <v>1145</v>
      </c>
      <c r="B10" s="5" t="s">
        <v>727</v>
      </c>
      <c r="C10" s="5" t="s">
        <v>29</v>
      </c>
      <c r="D10" s="5" t="s">
        <v>1146</v>
      </c>
      <c r="E10" s="7"/>
      <c r="F10" s="7"/>
    </row>
    <row r="11" customFormat="false" ht="15" hidden="false" customHeight="false" outlineLevel="0" collapsed="false">
      <c r="A11" s="5" t="s">
        <v>1147</v>
      </c>
      <c r="B11" s="5" t="s">
        <v>727</v>
      </c>
      <c r="C11" s="5" t="s">
        <v>36</v>
      </c>
      <c r="D11" s="5" t="s">
        <v>1148</v>
      </c>
      <c r="E11" s="7"/>
      <c r="F11" s="7"/>
    </row>
    <row r="12" customFormat="false" ht="15" hidden="false" customHeight="false" outlineLevel="0" collapsed="false">
      <c r="A12" s="5" t="s">
        <v>1149</v>
      </c>
      <c r="B12" s="5" t="s">
        <v>727</v>
      </c>
      <c r="C12" s="5" t="s">
        <v>47</v>
      </c>
      <c r="D12" s="5" t="s">
        <v>1150</v>
      </c>
      <c r="E12" s="7"/>
      <c r="F12" s="7"/>
    </row>
    <row r="13" customFormat="false" ht="15" hidden="false" customHeight="false" outlineLevel="0" collapsed="false">
      <c r="A13" s="5" t="s">
        <v>1151</v>
      </c>
      <c r="B13" s="5" t="s">
        <v>727</v>
      </c>
      <c r="C13" s="5" t="s">
        <v>24</v>
      </c>
      <c r="D13" s="5" t="s">
        <v>1152</v>
      </c>
      <c r="E13" s="7"/>
      <c r="F13" s="7"/>
    </row>
    <row r="14" customFormat="false" ht="15" hidden="false" customHeight="false" outlineLevel="0" collapsed="false">
      <c r="A14" s="5" t="s">
        <v>1153</v>
      </c>
      <c r="B14" s="5" t="s">
        <v>727</v>
      </c>
      <c r="C14" s="5" t="s">
        <v>47</v>
      </c>
      <c r="D14" s="5" t="s">
        <v>1154</v>
      </c>
      <c r="E14" s="7"/>
      <c r="F14" s="7"/>
    </row>
    <row r="15" customFormat="false" ht="15" hidden="false" customHeight="false" outlineLevel="0" collapsed="false">
      <c r="A15" s="5" t="s">
        <v>1155</v>
      </c>
      <c r="B15" s="5" t="s">
        <v>727</v>
      </c>
      <c r="C15" s="5" t="s">
        <v>36</v>
      </c>
      <c r="D15" s="5" t="s">
        <v>1156</v>
      </c>
      <c r="E15" s="7"/>
      <c r="F15" s="7"/>
    </row>
    <row r="16" customFormat="false" ht="15" hidden="false" customHeight="false" outlineLevel="0" collapsed="false">
      <c r="A16" s="5" t="s">
        <v>1157</v>
      </c>
      <c r="B16" s="5" t="s">
        <v>727</v>
      </c>
      <c r="C16" s="5" t="s">
        <v>29</v>
      </c>
      <c r="D16" s="5" t="s">
        <v>1158</v>
      </c>
      <c r="E16" s="7"/>
      <c r="F16" s="7"/>
    </row>
    <row r="17" customFormat="false" ht="15" hidden="false" customHeight="false" outlineLevel="0" collapsed="false">
      <c r="A17" s="5" t="s">
        <v>1159</v>
      </c>
      <c r="B17" s="5" t="s">
        <v>727</v>
      </c>
      <c r="C17" s="5" t="s">
        <v>47</v>
      </c>
      <c r="D17" s="5" t="s">
        <v>1160</v>
      </c>
      <c r="E17" s="7"/>
      <c r="F17" s="7"/>
    </row>
    <row r="18" customFormat="false" ht="15" hidden="false" customHeight="false" outlineLevel="0" collapsed="false">
      <c r="A18" s="5" t="s">
        <v>1161</v>
      </c>
      <c r="B18" s="5" t="s">
        <v>727</v>
      </c>
      <c r="C18" s="5" t="s">
        <v>36</v>
      </c>
      <c r="D18" s="5" t="s">
        <v>1162</v>
      </c>
      <c r="E18" s="7"/>
      <c r="F18" s="7"/>
    </row>
    <row r="19" customFormat="false" ht="15" hidden="false" customHeight="false" outlineLevel="0" collapsed="false">
      <c r="A19" s="5" t="s">
        <v>1163</v>
      </c>
      <c r="B19" s="5" t="s">
        <v>727</v>
      </c>
      <c r="C19" s="5" t="s">
        <v>29</v>
      </c>
      <c r="D19" s="5" t="s">
        <v>1164</v>
      </c>
      <c r="E19" s="7"/>
      <c r="F19" s="7"/>
    </row>
    <row r="20" customFormat="false" ht="15" hidden="false" customHeight="false" outlineLevel="0" collapsed="false">
      <c r="A20" s="5" t="s">
        <v>1165</v>
      </c>
      <c r="B20" s="5" t="s">
        <v>727</v>
      </c>
      <c r="C20" s="5" t="s">
        <v>150</v>
      </c>
      <c r="D20" s="5" t="s">
        <v>1166</v>
      </c>
      <c r="E20" s="7"/>
      <c r="F20" s="7"/>
    </row>
    <row r="21" customFormat="false" ht="15" hidden="false" customHeight="false" outlineLevel="0" collapsed="false">
      <c r="A21" s="5" t="s">
        <v>1167</v>
      </c>
      <c r="B21" s="5" t="s">
        <v>727</v>
      </c>
      <c r="C21" s="5" t="s">
        <v>36</v>
      </c>
      <c r="D21" s="5" t="s">
        <v>1168</v>
      </c>
      <c r="E21" s="7"/>
      <c r="F21" s="7"/>
    </row>
    <row r="22" customFormat="false" ht="15" hidden="false" customHeight="false" outlineLevel="0" collapsed="false">
      <c r="A22" s="5" t="s">
        <v>1169</v>
      </c>
      <c r="B22" s="5" t="s">
        <v>727</v>
      </c>
      <c r="C22" s="5" t="s">
        <v>29</v>
      </c>
      <c r="D22" s="5" t="s">
        <v>1170</v>
      </c>
      <c r="E22" s="7"/>
      <c r="F22" s="7"/>
    </row>
    <row r="23" customFormat="false" ht="15" hidden="false" customHeight="false" outlineLevel="0" collapsed="false">
      <c r="A23" s="5" t="s">
        <v>1171</v>
      </c>
      <c r="B23" s="5" t="s">
        <v>412</v>
      </c>
      <c r="C23" s="5" t="s">
        <v>40</v>
      </c>
      <c r="D23" s="5" t="s">
        <v>1172</v>
      </c>
      <c r="E23" s="7"/>
      <c r="F23" s="7"/>
    </row>
    <row r="24" customFormat="false" ht="15" hidden="false" customHeight="false" outlineLevel="0" collapsed="false">
      <c r="A24" s="5" t="s">
        <v>1173</v>
      </c>
      <c r="B24" s="5" t="s">
        <v>412</v>
      </c>
      <c r="C24" s="5" t="s">
        <v>47</v>
      </c>
      <c r="D24" s="5" t="s">
        <v>1174</v>
      </c>
      <c r="E24" s="7"/>
      <c r="F24" s="7"/>
    </row>
    <row r="25" customFormat="false" ht="15" hidden="false" customHeight="false" outlineLevel="0" collapsed="false">
      <c r="A25" s="5" t="s">
        <v>1175</v>
      </c>
      <c r="B25" s="5" t="s">
        <v>412</v>
      </c>
      <c r="C25" s="5" t="s">
        <v>40</v>
      </c>
      <c r="D25" s="5" t="s">
        <v>1176</v>
      </c>
      <c r="E25" s="7"/>
      <c r="F25" s="7"/>
    </row>
    <row r="26" customFormat="false" ht="15" hidden="false" customHeight="false" outlineLevel="0" collapsed="false">
      <c r="A26" s="5" t="s">
        <v>1177</v>
      </c>
      <c r="B26" s="5" t="s">
        <v>412</v>
      </c>
      <c r="C26" s="5" t="s">
        <v>24</v>
      </c>
      <c r="D26" s="5" t="s">
        <v>1178</v>
      </c>
      <c r="E26" s="7"/>
      <c r="F26" s="7"/>
    </row>
    <row r="27" customFormat="false" ht="15" hidden="false" customHeight="false" outlineLevel="0" collapsed="false">
      <c r="A27" s="5" t="s">
        <v>1179</v>
      </c>
      <c r="B27" s="5" t="s">
        <v>412</v>
      </c>
      <c r="C27" s="5" t="s">
        <v>29</v>
      </c>
      <c r="D27" s="5" t="s">
        <v>1180</v>
      </c>
      <c r="E27" s="7"/>
      <c r="F27" s="7"/>
    </row>
    <row r="28" customFormat="false" ht="15" hidden="false" customHeight="false" outlineLevel="0" collapsed="false">
      <c r="A28" s="5" t="s">
        <v>1181</v>
      </c>
      <c r="B28" s="5" t="s">
        <v>412</v>
      </c>
      <c r="C28" s="5" t="s">
        <v>40</v>
      </c>
      <c r="D28" s="5" t="s">
        <v>1182</v>
      </c>
      <c r="E28" s="7"/>
      <c r="F28" s="7"/>
    </row>
    <row r="29" customFormat="false" ht="15" hidden="false" customHeight="false" outlineLevel="0" collapsed="false">
      <c r="A29" s="5" t="s">
        <v>1183</v>
      </c>
      <c r="B29" s="5" t="s">
        <v>412</v>
      </c>
      <c r="C29" s="5" t="s">
        <v>36</v>
      </c>
      <c r="D29" s="5" t="s">
        <v>1184</v>
      </c>
      <c r="E29" s="7"/>
      <c r="F29" s="7"/>
    </row>
    <row r="30" customFormat="false" ht="15" hidden="false" customHeight="false" outlineLevel="0" collapsed="false">
      <c r="A30" s="5" t="s">
        <v>1185</v>
      </c>
      <c r="B30" s="5" t="s">
        <v>254</v>
      </c>
      <c r="C30" s="5" t="s">
        <v>29</v>
      </c>
      <c r="D30" s="5" t="s">
        <v>1186</v>
      </c>
      <c r="E30" s="7"/>
      <c r="F30" s="7"/>
    </row>
    <row r="31" customFormat="false" ht="15" hidden="false" customHeight="false" outlineLevel="0" collapsed="false">
      <c r="A31" s="5" t="s">
        <v>1187</v>
      </c>
      <c r="B31" s="5" t="s">
        <v>254</v>
      </c>
      <c r="C31" s="5" t="s">
        <v>47</v>
      </c>
      <c r="D31" s="5" t="s">
        <v>1188</v>
      </c>
      <c r="E31" s="7"/>
      <c r="F31" s="7"/>
    </row>
    <row r="32" customFormat="false" ht="15" hidden="false" customHeight="false" outlineLevel="0" collapsed="false">
      <c r="A32" s="5" t="s">
        <v>1189</v>
      </c>
      <c r="B32" s="5" t="s">
        <v>254</v>
      </c>
      <c r="C32" s="5" t="s">
        <v>29</v>
      </c>
      <c r="D32" s="5" t="s">
        <v>1190</v>
      </c>
      <c r="E32" s="7"/>
      <c r="F32" s="7"/>
    </row>
    <row r="33" customFormat="false" ht="15" hidden="false" customHeight="false" outlineLevel="0" collapsed="false">
      <c r="A33" s="5" t="s">
        <v>1191</v>
      </c>
      <c r="B33" s="5" t="s">
        <v>254</v>
      </c>
      <c r="C33" s="5" t="s">
        <v>24</v>
      </c>
      <c r="D33" s="5" t="s">
        <v>1192</v>
      </c>
      <c r="E33" s="7"/>
      <c r="F33" s="7"/>
    </row>
    <row r="34" customFormat="false" ht="15" hidden="false" customHeight="false" outlineLevel="0" collapsed="false">
      <c r="A34" s="5" t="s">
        <v>1193</v>
      </c>
      <c r="B34" s="5" t="s">
        <v>254</v>
      </c>
      <c r="C34" s="5" t="s">
        <v>150</v>
      </c>
      <c r="D34" s="5" t="s">
        <v>1194</v>
      </c>
      <c r="E34" s="7"/>
      <c r="F34" s="7"/>
    </row>
    <row r="35" customFormat="false" ht="15" hidden="false" customHeight="false" outlineLevel="0" collapsed="false">
      <c r="A35" s="5" t="s">
        <v>1195</v>
      </c>
      <c r="B35" s="5" t="s">
        <v>1196</v>
      </c>
      <c r="C35" s="5" t="s">
        <v>36</v>
      </c>
      <c r="D35" s="5" t="s">
        <v>1197</v>
      </c>
      <c r="E35" s="7"/>
      <c r="F35" s="7"/>
    </row>
    <row r="36" customFormat="false" ht="15" hidden="false" customHeight="false" outlineLevel="0" collapsed="false">
      <c r="A36" s="5" t="s">
        <v>1198</v>
      </c>
      <c r="B36" s="5" t="s">
        <v>1196</v>
      </c>
      <c r="C36" s="5" t="s">
        <v>29</v>
      </c>
      <c r="D36" s="5" t="s">
        <v>1199</v>
      </c>
      <c r="E36" s="7"/>
      <c r="F36" s="7"/>
    </row>
    <row r="37" customFormat="false" ht="15" hidden="false" customHeight="false" outlineLevel="0" collapsed="false">
      <c r="A37" s="5" t="s">
        <v>1200</v>
      </c>
      <c r="B37" s="5" t="s">
        <v>1196</v>
      </c>
      <c r="C37" s="5" t="s">
        <v>47</v>
      </c>
      <c r="D37" s="5" t="s">
        <v>1201</v>
      </c>
      <c r="E37" s="7"/>
      <c r="F37" s="7"/>
    </row>
    <row r="38" customFormat="false" ht="15" hidden="false" customHeight="false" outlineLevel="0" collapsed="false">
      <c r="A38" s="5" t="s">
        <v>1202</v>
      </c>
      <c r="B38" s="5" t="s">
        <v>1196</v>
      </c>
      <c r="C38" s="5" t="s">
        <v>29</v>
      </c>
      <c r="D38" s="5" t="s">
        <v>1203</v>
      </c>
      <c r="E38" s="7"/>
      <c r="F38" s="7"/>
    </row>
    <row r="39" customFormat="false" ht="15" hidden="false" customHeight="false" outlineLevel="0" collapsed="false">
      <c r="A39" s="5" t="s">
        <v>1204</v>
      </c>
      <c r="B39" s="5" t="s">
        <v>1196</v>
      </c>
      <c r="C39" s="5" t="s">
        <v>24</v>
      </c>
      <c r="D39" s="5" t="s">
        <v>1205</v>
      </c>
      <c r="E39" s="7"/>
      <c r="F39" s="7"/>
    </row>
    <row r="40" customFormat="false" ht="15" hidden="false" customHeight="false" outlineLevel="0" collapsed="false">
      <c r="A40" s="5" t="s">
        <v>1206</v>
      </c>
      <c r="B40" s="5" t="s">
        <v>1207</v>
      </c>
      <c r="C40" s="5" t="s">
        <v>36</v>
      </c>
      <c r="D40" s="5" t="s">
        <v>1208</v>
      </c>
      <c r="E40" s="7"/>
      <c r="F40" s="7"/>
    </row>
    <row r="41" customFormat="false" ht="15" hidden="false" customHeight="false" outlineLevel="0" collapsed="false">
      <c r="A41" s="5" t="s">
        <v>1209</v>
      </c>
      <c r="B41" s="5" t="s">
        <v>1207</v>
      </c>
      <c r="C41" s="5" t="s">
        <v>47</v>
      </c>
      <c r="D41" s="5" t="s">
        <v>1210</v>
      </c>
      <c r="E41" s="7"/>
      <c r="F41" s="7"/>
    </row>
    <row r="42" customFormat="false" ht="15" hidden="false" customHeight="false" outlineLevel="0" collapsed="false">
      <c r="A42" s="5" t="s">
        <v>1211</v>
      </c>
      <c r="B42" s="5" t="s">
        <v>1207</v>
      </c>
      <c r="C42" s="5" t="s">
        <v>40</v>
      </c>
      <c r="D42" s="5" t="s">
        <v>1212</v>
      </c>
      <c r="E42" s="7"/>
      <c r="F42" s="7"/>
    </row>
    <row r="43" customFormat="false" ht="15" hidden="false" customHeight="false" outlineLevel="0" collapsed="false">
      <c r="A43" s="5" t="s">
        <v>1213</v>
      </c>
      <c r="B43" s="5" t="s">
        <v>1207</v>
      </c>
      <c r="C43" s="5" t="s">
        <v>29</v>
      </c>
      <c r="D43" s="5" t="s">
        <v>1214</v>
      </c>
      <c r="E43" s="7"/>
      <c r="F43" s="7"/>
    </row>
    <row r="44" customFormat="false" ht="15" hidden="false" customHeight="false" outlineLevel="0" collapsed="false">
      <c r="A44" s="5" t="s">
        <v>1215</v>
      </c>
      <c r="B44" s="5" t="s">
        <v>1216</v>
      </c>
      <c r="C44" s="5" t="s">
        <v>24</v>
      </c>
      <c r="D44" s="5" t="s">
        <v>1217</v>
      </c>
      <c r="E44" s="7"/>
      <c r="F44" s="7"/>
    </row>
    <row r="45" customFormat="false" ht="15" hidden="false" customHeight="false" outlineLevel="0" collapsed="false">
      <c r="A45" s="5" t="s">
        <v>1218</v>
      </c>
      <c r="B45" s="5" t="s">
        <v>1216</v>
      </c>
      <c r="C45" s="5" t="s">
        <v>47</v>
      </c>
      <c r="D45" s="5" t="s">
        <v>1219</v>
      </c>
      <c r="E45" s="7"/>
      <c r="F45" s="7"/>
    </row>
    <row r="46" customFormat="false" ht="15" hidden="false" customHeight="false" outlineLevel="0" collapsed="false">
      <c r="A46" s="5" t="s">
        <v>1220</v>
      </c>
      <c r="B46" s="5" t="s">
        <v>1216</v>
      </c>
      <c r="C46" s="5" t="s">
        <v>24</v>
      </c>
      <c r="D46" s="5" t="s">
        <v>1221</v>
      </c>
      <c r="E46" s="7"/>
      <c r="F46" s="7"/>
    </row>
    <row r="47" customFormat="false" ht="15" hidden="false" customHeight="false" outlineLevel="0" collapsed="false">
      <c r="A47" s="5" t="s">
        <v>1222</v>
      </c>
      <c r="B47" s="5" t="s">
        <v>1216</v>
      </c>
      <c r="C47" s="5" t="s">
        <v>40</v>
      </c>
      <c r="D47" s="5" t="s">
        <v>1223</v>
      </c>
      <c r="E47" s="7"/>
      <c r="F47" s="7"/>
    </row>
    <row r="48" customFormat="false" ht="15" hidden="false" customHeight="false" outlineLevel="0" collapsed="false">
      <c r="A48" s="5" t="s">
        <v>1224</v>
      </c>
      <c r="B48" s="5" t="s">
        <v>1216</v>
      </c>
      <c r="C48" s="5" t="s">
        <v>29</v>
      </c>
      <c r="D48" s="5" t="s">
        <v>1225</v>
      </c>
      <c r="E48" s="7"/>
      <c r="F48" s="7"/>
    </row>
    <row r="49" customFormat="false" ht="15" hidden="false" customHeight="false" outlineLevel="0" collapsed="false">
      <c r="A49" s="5" t="s">
        <v>1226</v>
      </c>
      <c r="B49" s="5" t="s">
        <v>21</v>
      </c>
      <c r="C49" s="5" t="s">
        <v>29</v>
      </c>
      <c r="D49" s="5" t="s">
        <v>1227</v>
      </c>
      <c r="E49" s="7"/>
      <c r="F49" s="7"/>
    </row>
    <row r="50" customFormat="false" ht="15" hidden="false" customHeight="false" outlineLevel="0" collapsed="false">
      <c r="A50" s="5" t="s">
        <v>1228</v>
      </c>
      <c r="B50" s="5" t="s">
        <v>21</v>
      </c>
      <c r="C50" s="5" t="s">
        <v>36</v>
      </c>
      <c r="D50" s="5" t="s">
        <v>1229</v>
      </c>
      <c r="E50" s="7"/>
      <c r="F50" s="7"/>
    </row>
    <row r="51" customFormat="false" ht="15" hidden="false" customHeight="false" outlineLevel="0" collapsed="false">
      <c r="A51" s="5" t="s">
        <v>1230</v>
      </c>
      <c r="B51" s="5" t="s">
        <v>21</v>
      </c>
      <c r="C51" s="5" t="s">
        <v>47</v>
      </c>
      <c r="D51" s="5" t="s">
        <v>1231</v>
      </c>
      <c r="E51" s="7"/>
      <c r="F51" s="7"/>
    </row>
    <row r="52" customFormat="false" ht="15" hidden="false" customHeight="false" outlineLevel="0" collapsed="false">
      <c r="A52" s="5" t="s">
        <v>1232</v>
      </c>
      <c r="B52" s="5" t="s">
        <v>1233</v>
      </c>
      <c r="C52" s="5" t="s">
        <v>29</v>
      </c>
      <c r="D52" s="5" t="s">
        <v>1234</v>
      </c>
      <c r="E52" s="7"/>
      <c r="F52" s="7"/>
    </row>
    <row r="53" customFormat="false" ht="15" hidden="false" customHeight="false" outlineLevel="0" collapsed="false">
      <c r="A53" s="5" t="s">
        <v>1235</v>
      </c>
      <c r="B53" s="5" t="s">
        <v>1233</v>
      </c>
      <c r="C53" s="5" t="s">
        <v>36</v>
      </c>
      <c r="D53" s="5" t="s">
        <v>1236</v>
      </c>
      <c r="E53" s="7"/>
      <c r="F53" s="7"/>
    </row>
    <row r="54" customFormat="false" ht="15" hidden="false" customHeight="false" outlineLevel="0" collapsed="false">
      <c r="A54" s="5" t="s">
        <v>1237</v>
      </c>
      <c r="B54" s="5" t="s">
        <v>1233</v>
      </c>
      <c r="C54" s="5" t="s">
        <v>24</v>
      </c>
      <c r="D54" s="5" t="s">
        <v>1238</v>
      </c>
      <c r="E54" s="7"/>
      <c r="F54" s="7"/>
    </row>
    <row r="55" customFormat="false" ht="15" hidden="false" customHeight="false" outlineLevel="0" collapsed="false">
      <c r="A55" s="5" t="s">
        <v>1239</v>
      </c>
      <c r="B55" s="5" t="s">
        <v>1233</v>
      </c>
      <c r="C55" s="5" t="s">
        <v>40</v>
      </c>
      <c r="D55" s="5" t="s">
        <v>1240</v>
      </c>
      <c r="E55" s="7"/>
      <c r="F55" s="7"/>
    </row>
    <row r="57" customFormat="false" ht="15" hidden="false" customHeight="false" outlineLevel="0" collapsed="false">
      <c r="A57" s="3" t="s">
        <v>1241</v>
      </c>
    </row>
    <row r="58" customFormat="false" ht="15" hidden="false" customHeight="false" outlineLevel="0" collapsed="false">
      <c r="A58" s="2" t="s">
        <v>1242</v>
      </c>
      <c r="D58" s="2" t="s">
        <v>1243</v>
      </c>
    </row>
    <row r="59" customFormat="false" ht="15" hidden="false" customHeight="false" outlineLevel="0" collapsed="false">
      <c r="A59" s="2" t="s">
        <v>1244</v>
      </c>
      <c r="D59" s="2" t="s">
        <v>1245</v>
      </c>
    </row>
    <row r="60" customFormat="false" ht="15" hidden="false" customHeight="false" outlineLevel="0" collapsed="false">
      <c r="A60" s="2" t="s">
        <v>1246</v>
      </c>
      <c r="D60" s="2" t="s">
        <v>1247</v>
      </c>
    </row>
    <row r="61" customFormat="false" ht="15" hidden="false" customHeight="false" outlineLevel="0" collapsed="false">
      <c r="A61" s="2" t="s">
        <v>1248</v>
      </c>
      <c r="D61" s="2" t="s">
        <v>1249</v>
      </c>
    </row>
  </sheetData>
  <autoFilter ref="A1:F55"/>
  <dataValidations count="1">
    <dataValidation allowBlank="true" errorStyle="stop" operator="between" showDropDown="false" showErrorMessage="false" showInputMessage="false" sqref="E2:E55" type="list">
      <formula1>"Behalten,Streichen,Ändern"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2"/>
    <col collapsed="false" customWidth="true" hidden="false" outlineLevel="0" max="4" min="4" style="0" width="14"/>
    <col collapsed="false" customWidth="true" hidden="false" outlineLevel="0" max="5" min="5" style="0" width="60"/>
  </cols>
  <sheetData>
    <row r="1" customFormat="false" ht="15" hidden="false" customHeight="false" outlineLevel="0" collapsed="false">
      <c r="A1" s="9" t="s">
        <v>1250</v>
      </c>
    </row>
    <row r="2" customFormat="false" ht="15" hidden="false" customHeight="false" outlineLevel="0" collapsed="false">
      <c r="A2" s="3" t="s">
        <v>16</v>
      </c>
      <c r="B2" s="3" t="s">
        <v>1251</v>
      </c>
      <c r="C2" s="3" t="s">
        <v>1252</v>
      </c>
    </row>
    <row r="3" customFormat="false" ht="15" hidden="false" customHeight="false" outlineLevel="0" collapsed="false">
      <c r="A3" s="2" t="s">
        <v>24</v>
      </c>
      <c r="B3" s="2" t="n">
        <f aca="false">COUNTIF(Gags!$F$2:$F$245,A3)</f>
        <v>56</v>
      </c>
      <c r="C3" s="10" t="n">
        <f aca="false">B3/244</f>
        <v>0.229508196721311</v>
      </c>
    </row>
    <row r="4" customFormat="false" ht="15" hidden="false" customHeight="false" outlineLevel="0" collapsed="false">
      <c r="A4" s="2" t="s">
        <v>29</v>
      </c>
      <c r="B4" s="2" t="n">
        <f aca="false">COUNTIF(Gags!$F$2:$F$245,A4)</f>
        <v>66</v>
      </c>
      <c r="C4" s="10" t="n">
        <f aca="false">B4/244</f>
        <v>0.270491803278689</v>
      </c>
    </row>
    <row r="5" customFormat="false" ht="15" hidden="false" customHeight="false" outlineLevel="0" collapsed="false">
      <c r="A5" s="2" t="s">
        <v>36</v>
      </c>
      <c r="B5" s="2" t="n">
        <f aca="false">COUNTIF(Gags!$F$2:$F$245,A5)</f>
        <v>31</v>
      </c>
      <c r="C5" s="10" t="n">
        <f aca="false">B5/244</f>
        <v>0.127049180327869</v>
      </c>
    </row>
    <row r="6" customFormat="false" ht="15" hidden="false" customHeight="false" outlineLevel="0" collapsed="false">
      <c r="A6" s="2" t="s">
        <v>150</v>
      </c>
      <c r="B6" s="2" t="n">
        <f aca="false">COUNTIF(Gags!$F$2:$F$245,A6)</f>
        <v>14</v>
      </c>
      <c r="C6" s="10" t="n">
        <f aca="false">B6/244</f>
        <v>0.0573770491803279</v>
      </c>
    </row>
    <row r="7" customFormat="false" ht="15" hidden="false" customHeight="false" outlineLevel="0" collapsed="false">
      <c r="A7" s="2" t="s">
        <v>47</v>
      </c>
      <c r="B7" s="2" t="n">
        <f aca="false">COUNTIF(Gags!$F$2:$F$245,A7)</f>
        <v>15</v>
      </c>
      <c r="C7" s="10" t="n">
        <f aca="false">B7/244</f>
        <v>0.0614754098360656</v>
      </c>
    </row>
    <row r="8" customFormat="false" ht="15" hidden="false" customHeight="false" outlineLevel="0" collapsed="false">
      <c r="A8" s="2" t="s">
        <v>40</v>
      </c>
      <c r="B8" s="2" t="n">
        <f aca="false">COUNTIF(Gags!$F$2:$F$245,A8)</f>
        <v>62</v>
      </c>
      <c r="C8" s="10" t="n">
        <f aca="false">B8/244</f>
        <v>0.254098360655738</v>
      </c>
    </row>
    <row r="9" customFormat="false" ht="15" hidden="false" customHeight="false" outlineLevel="0" collapsed="false">
      <c r="A9" s="11" t="s">
        <v>1253</v>
      </c>
    </row>
    <row r="11" customFormat="false" ht="15" hidden="false" customHeight="false" outlineLevel="0" collapsed="false">
      <c r="A11" s="9" t="s">
        <v>1254</v>
      </c>
    </row>
    <row r="12" customFormat="false" ht="15" hidden="false" customHeight="false" outlineLevel="0" collapsed="false">
      <c r="A12" s="3" t="s">
        <v>1255</v>
      </c>
      <c r="B12" s="3" t="s">
        <v>1256</v>
      </c>
      <c r="C12" s="3" t="s">
        <v>1257</v>
      </c>
      <c r="D12" s="3" t="s">
        <v>1258</v>
      </c>
      <c r="E12" s="3" t="s">
        <v>1259</v>
      </c>
    </row>
    <row r="13" customFormat="false" ht="15" hidden="false" customHeight="false" outlineLevel="0" collapsed="false">
      <c r="A13" s="2" t="s">
        <v>1260</v>
      </c>
      <c r="B13" s="2" t="n">
        <f aca="false">COUNTIF(Gags!$H$2:$H$245,"Behalten")</f>
        <v>0</v>
      </c>
      <c r="C13" s="2" t="n">
        <f aca="false">COUNTIF(Gags!$H$2:$H$245,"Streichen")</f>
        <v>0</v>
      </c>
      <c r="D13" s="2" t="n">
        <f aca="false">COUNTIF(Gags!$H$2:$H$245,"Ändern")</f>
        <v>0</v>
      </c>
      <c r="E13" s="2" t="n">
        <f aca="false">244-SUM(B13:D13)</f>
        <v>244</v>
      </c>
    </row>
    <row r="14" customFormat="false" ht="15" hidden="false" customHeight="false" outlineLevel="0" collapsed="false">
      <c r="A14" s="2" t="s">
        <v>1261</v>
      </c>
      <c r="B14" s="2" t="n">
        <f aca="false">COUNTIF(Gruppen!$H$2:$H$53,"Behalten")</f>
        <v>0</v>
      </c>
      <c r="C14" s="2" t="n">
        <f aca="false">COUNTIF(Gruppen!$H$2:$H$53,"Streichen")</f>
        <v>0</v>
      </c>
      <c r="D14" s="2" t="n">
        <f aca="false">COUNTIF(Gruppen!$H$2:$H$53,"Ändern")</f>
        <v>0</v>
      </c>
      <c r="E14" s="2" t="n">
        <f aca="false">52-SUM(B14:D14)</f>
        <v>52</v>
      </c>
    </row>
    <row r="15" customFormat="false" ht="15" hidden="false" customHeight="false" outlineLevel="0" collapsed="false">
      <c r="A15" s="2" t="s">
        <v>1262</v>
      </c>
      <c r="B15" s="2" t="n">
        <f aca="false">COUNTIF('Helden-Aktionen'!$H$2:$H$57,"Behalten")</f>
        <v>0</v>
      </c>
      <c r="C15" s="2" t="n">
        <f aca="false">COUNTIF('Helden-Aktionen'!$H$2:$H$57,"Streichen")</f>
        <v>0</v>
      </c>
      <c r="D15" s="2" t="n">
        <f aca="false">COUNTIF('Helden-Aktionen'!$H$2:$H$57,"Ändern")</f>
        <v>0</v>
      </c>
      <c r="E15" s="2" t="n">
        <f aca="false">56-SUM(B15:D15)</f>
        <v>56</v>
      </c>
    </row>
    <row r="16" customFormat="false" ht="15" hidden="false" customHeight="false" outlineLevel="0" collapsed="false">
      <c r="A16" s="2" t="s">
        <v>1263</v>
      </c>
      <c r="B16" s="2" t="n">
        <f aca="false">COUNTIF('Neue Vorschläge'!$E$2:$E$55,"Behalten")</f>
        <v>0</v>
      </c>
      <c r="C16" s="2" t="n">
        <f aca="false">COUNTIF('Neue Vorschläge'!$E$2:$E$55,"Streichen")</f>
        <v>0</v>
      </c>
      <c r="D16" s="2" t="n">
        <f aca="false">COUNTIF('Neue Vorschläge'!$E$2:$E$55,"Ändern")</f>
        <v>0</v>
      </c>
      <c r="E16" s="2" t="n">
        <f aca="false">54-SUM(B16:D16)</f>
        <v>54</v>
      </c>
    </row>
    <row r="19" customFormat="false" ht="15" hidden="false" customHeight="false" outlineLevel="0" collapsed="false">
      <c r="A19" s="9" t="s">
        <v>1264</v>
      </c>
    </row>
    <row r="20" customFormat="false" ht="48" hidden="false" customHeight="true" outlineLevel="0" collapsed="false">
      <c r="A20" s="12" t="s">
        <v>1265</v>
      </c>
      <c r="B20" s="12"/>
      <c r="C20" s="12"/>
      <c r="D20" s="12"/>
      <c r="E20" s="12"/>
    </row>
    <row r="21" customFormat="false" ht="48" hidden="false" customHeight="true" outlineLevel="0" collapsed="false">
      <c r="A21" s="12" t="s">
        <v>1266</v>
      </c>
      <c r="B21" s="12"/>
      <c r="C21" s="12"/>
      <c r="D21" s="12"/>
      <c r="E21" s="12"/>
    </row>
    <row r="22" customFormat="false" ht="48" hidden="false" customHeight="true" outlineLevel="0" collapsed="false">
      <c r="A22" s="12" t="s">
        <v>1267</v>
      </c>
      <c r="B22" s="12"/>
      <c r="C22" s="12"/>
      <c r="D22" s="12"/>
      <c r="E22" s="12"/>
    </row>
    <row r="23" customFormat="false" ht="48" hidden="false" customHeight="true" outlineLevel="0" collapsed="false">
      <c r="A23" s="12" t="s">
        <v>1268</v>
      </c>
      <c r="B23" s="12"/>
      <c r="C23" s="12"/>
      <c r="D23" s="12"/>
      <c r="E23" s="12"/>
    </row>
    <row r="24" customFormat="false" ht="48" hidden="false" customHeight="true" outlineLevel="0" collapsed="false">
      <c r="A24" s="12" t="s">
        <v>1269</v>
      </c>
      <c r="B24" s="12"/>
      <c r="C24" s="12"/>
      <c r="D24" s="12"/>
      <c r="E24" s="12"/>
    </row>
    <row r="25" customFormat="false" ht="48" hidden="false" customHeight="true" outlineLevel="0" collapsed="false">
      <c r="A25" s="12" t="s">
        <v>1270</v>
      </c>
      <c r="B25" s="12"/>
      <c r="C25" s="12"/>
      <c r="D25" s="12"/>
      <c r="E25" s="12"/>
    </row>
  </sheetData>
  <mergeCells count="6">
    <mergeCell ref="A20:E20"/>
    <mergeCell ref="A21:E21"/>
    <mergeCell ref="A22:E22"/>
    <mergeCell ref="A23:E23"/>
    <mergeCell ref="A24:E24"/>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2026-10-25T09:53:54Z</dcterms:created>
  <dc:creator>openpyxl</dc:creator>
  <dc:description/>
  <dc:language>en-US</dc:language>
  <cp:lastModifiedBy/>
  <dcterms:modified xsi:type="dcterms:W3CDTF">2026-10-25T09:53:54Z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